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60" windowWidth="19440" windowHeight="885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  <sheet name="Plan1" sheetId="39" r:id="rId6"/>
  </sheets>
  <externalReferences>
    <externalReference r:id="rId7"/>
  </externalReferences>
  <definedNames>
    <definedName name="_xlnm._FilterDatabase" localSheetId="1" hidden="1">'INFORMÇAÕES '!$B$4:$M$143</definedName>
    <definedName name="_xlnm._FilterDatabase" localSheetId="0" hidden="1">'TABELA DE DEFEITOS'!$B$3:$I$209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E5" i="1" l="1"/>
  <c r="K3" i="1" l="1"/>
  <c r="Q3" i="1" s="1"/>
  <c r="R3" i="1" s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BH6" i="30" l="1"/>
  <c r="M3" i="1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F5" i="1" s="1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L107" i="1" l="1"/>
  <c r="E100" i="10" s="1"/>
  <c r="C100" i="10" s="1"/>
  <c r="M10" i="1"/>
  <c r="F6" i="10" s="1"/>
  <c r="G6" i="10" s="1"/>
  <c r="M12" i="1"/>
  <c r="F8" i="10" s="1"/>
  <c r="G8" i="10" s="1"/>
  <c r="M14" i="1"/>
  <c r="F2" i="10" s="1"/>
  <c r="G2" i="10" s="1"/>
  <c r="M16" i="1"/>
  <c r="F4" i="10" s="1"/>
  <c r="G4" i="10" s="1"/>
  <c r="M18" i="1"/>
  <c r="F11" i="10" s="1"/>
  <c r="G11" i="10" s="1"/>
  <c r="M20" i="1"/>
  <c r="F13" i="10" s="1"/>
  <c r="G13" i="10" s="1"/>
  <c r="M22" i="1"/>
  <c r="F15" i="10" s="1"/>
  <c r="G15" i="10" s="1"/>
  <c r="M24" i="1"/>
  <c r="F17" i="10" s="1"/>
  <c r="G17" i="10" s="1"/>
  <c r="M26" i="1"/>
  <c r="F19" i="10" s="1"/>
  <c r="G19" i="10" s="1"/>
  <c r="M28" i="1"/>
  <c r="F21" i="10" s="1"/>
  <c r="G21" i="10" s="1"/>
  <c r="M30" i="1"/>
  <c r="F23" i="10" s="1"/>
  <c r="G23" i="10" s="1"/>
  <c r="M32" i="1"/>
  <c r="F25" i="10" s="1"/>
  <c r="G25" i="10" s="1"/>
  <c r="M34" i="1"/>
  <c r="F27" i="10" s="1"/>
  <c r="G27" i="10" s="1"/>
  <c r="M36" i="1"/>
  <c r="F29" i="10" s="1"/>
  <c r="G29" i="10" s="1"/>
  <c r="M38" i="1"/>
  <c r="F31" i="10" s="1"/>
  <c r="G31" i="10" s="1"/>
  <c r="M40" i="1"/>
  <c r="F33" i="10" s="1"/>
  <c r="G33" i="10" s="1"/>
  <c r="M42" i="1"/>
  <c r="F35" i="10" s="1"/>
  <c r="G35" i="10" s="1"/>
  <c r="M44" i="1"/>
  <c r="F37" i="10" s="1"/>
  <c r="G37" i="10" s="1"/>
  <c r="M46" i="1"/>
  <c r="F39" i="10" s="1"/>
  <c r="G39" i="10" s="1"/>
  <c r="M48" i="1"/>
  <c r="F41" i="10" s="1"/>
  <c r="G41" i="10" s="1"/>
  <c r="M50" i="1"/>
  <c r="F43" i="10" s="1"/>
  <c r="G43" i="10" s="1"/>
  <c r="M52" i="1"/>
  <c r="F45" i="10" s="1"/>
  <c r="G45" i="10" s="1"/>
  <c r="L55" i="1"/>
  <c r="E48" i="10" s="1"/>
  <c r="M57" i="1"/>
  <c r="F50" i="10" s="1"/>
  <c r="G50" i="10" s="1"/>
  <c r="L61" i="1"/>
  <c r="E54" i="10" s="1"/>
  <c r="B54" i="10" s="1"/>
  <c r="J54" i="10" s="1"/>
  <c r="L65" i="1"/>
  <c r="E58" i="10" s="1"/>
  <c r="L69" i="1"/>
  <c r="E62" i="10" s="1"/>
  <c r="L73" i="1"/>
  <c r="E66" i="10" s="1"/>
  <c r="L77" i="1"/>
  <c r="E70" i="10" s="1"/>
  <c r="M70" i="10" s="1"/>
  <c r="L81" i="1"/>
  <c r="E74" i="10" s="1"/>
  <c r="B74" i="10" s="1"/>
  <c r="L74" i="10" s="1"/>
  <c r="L85" i="1"/>
  <c r="E78" i="10" s="1"/>
  <c r="L89" i="1"/>
  <c r="E82" i="10" s="1"/>
  <c r="L93" i="1"/>
  <c r="E86" i="10" s="1"/>
  <c r="B86" i="10" s="1"/>
  <c r="L97" i="1"/>
  <c r="E90" i="10" s="1"/>
  <c r="B90" i="10" s="1"/>
  <c r="A90" i="10" s="1"/>
  <c r="L101" i="1"/>
  <c r="E94" i="10" s="1"/>
  <c r="L105" i="1"/>
  <c r="E98" i="10" s="1"/>
  <c r="L9" i="1"/>
  <c r="E5" i="10" s="1"/>
  <c r="C5" i="10" s="1"/>
  <c r="L11" i="1"/>
  <c r="E7" i="10" s="1"/>
  <c r="C7" i="10" s="1"/>
  <c r="L13" i="1"/>
  <c r="E9" i="10" s="1"/>
  <c r="L15" i="1"/>
  <c r="E3" i="10" s="1"/>
  <c r="L17" i="1"/>
  <c r="E10" i="10" s="1"/>
  <c r="M10" i="10" s="1"/>
  <c r="L19" i="1"/>
  <c r="E12" i="10" s="1"/>
  <c r="M12" i="10" s="1"/>
  <c r="L21" i="1"/>
  <c r="E14" i="10" s="1"/>
  <c r="M14" i="10" s="1"/>
  <c r="L23" i="1"/>
  <c r="E16" i="10" s="1"/>
  <c r="M16" i="10" s="1"/>
  <c r="L25" i="1"/>
  <c r="E18" i="10" s="1"/>
  <c r="M18" i="10" s="1"/>
  <c r="L27" i="1"/>
  <c r="E20" i="10" s="1"/>
  <c r="M20" i="10" s="1"/>
  <c r="L29" i="1"/>
  <c r="E22" i="10" s="1"/>
  <c r="M22" i="10" s="1"/>
  <c r="L31" i="1"/>
  <c r="E24" i="10" s="1"/>
  <c r="L33" i="1"/>
  <c r="E26" i="10" s="1"/>
  <c r="C26" i="10" s="1"/>
  <c r="L35" i="1"/>
  <c r="E28" i="10" s="1"/>
  <c r="C28" i="10" s="1"/>
  <c r="L37" i="1"/>
  <c r="E30" i="10" s="1"/>
  <c r="L39" i="1"/>
  <c r="E32" i="10" s="1"/>
  <c r="L41" i="1"/>
  <c r="E34" i="10" s="1"/>
  <c r="L43" i="1"/>
  <c r="E36" i="10" s="1"/>
  <c r="L45" i="1"/>
  <c r="E38" i="10" s="1"/>
  <c r="L47" i="1"/>
  <c r="E40" i="10" s="1"/>
  <c r="L49" i="1"/>
  <c r="E42" i="10" s="1"/>
  <c r="L51" i="1"/>
  <c r="E44" i="10" s="1"/>
  <c r="C44" i="10" s="1"/>
  <c r="L53" i="1"/>
  <c r="E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M9" i="1"/>
  <c r="F5" i="10" s="1"/>
  <c r="G5" i="10" s="1"/>
  <c r="M11" i="1"/>
  <c r="F7" i="10" s="1"/>
  <c r="G7" i="10" s="1"/>
  <c r="M13" i="1"/>
  <c r="F9" i="10" s="1"/>
  <c r="G9" i="10" s="1"/>
  <c r="M15" i="1"/>
  <c r="F3" i="10" s="1"/>
  <c r="G3" i="10" s="1"/>
  <c r="M17" i="1"/>
  <c r="F10" i="10" s="1"/>
  <c r="G10" i="10" s="1"/>
  <c r="M19" i="1"/>
  <c r="F12" i="10" s="1"/>
  <c r="G12" i="10" s="1"/>
  <c r="M21" i="1"/>
  <c r="F14" i="10" s="1"/>
  <c r="G14" i="10" s="1"/>
  <c r="M23" i="1"/>
  <c r="F16" i="10" s="1"/>
  <c r="G16" i="10" s="1"/>
  <c r="M25" i="1"/>
  <c r="F18" i="10" s="1"/>
  <c r="G18" i="10" s="1"/>
  <c r="M27" i="1"/>
  <c r="F20" i="10" s="1"/>
  <c r="G20" i="10" s="1"/>
  <c r="M29" i="1"/>
  <c r="F22" i="10" s="1"/>
  <c r="G22" i="10" s="1"/>
  <c r="M31" i="1"/>
  <c r="F24" i="10" s="1"/>
  <c r="G24" i="10" s="1"/>
  <c r="M33" i="1"/>
  <c r="F26" i="10" s="1"/>
  <c r="G26" i="10" s="1"/>
  <c r="M35" i="1"/>
  <c r="F28" i="10" s="1"/>
  <c r="G28" i="10" s="1"/>
  <c r="M37" i="1"/>
  <c r="F30" i="10" s="1"/>
  <c r="G30" i="10" s="1"/>
  <c r="M39" i="1"/>
  <c r="F32" i="10" s="1"/>
  <c r="G32" i="10" s="1"/>
  <c r="M41" i="1"/>
  <c r="F34" i="10" s="1"/>
  <c r="G34" i="10" s="1"/>
  <c r="M43" i="1"/>
  <c r="F36" i="10" s="1"/>
  <c r="G36" i="10" s="1"/>
  <c r="M45" i="1"/>
  <c r="F38" i="10" s="1"/>
  <c r="G38" i="10" s="1"/>
  <c r="M47" i="1"/>
  <c r="F40" i="10" s="1"/>
  <c r="G40" i="10" s="1"/>
  <c r="M49" i="1"/>
  <c r="F42" i="10" s="1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B52" i="10" s="1"/>
  <c r="L63" i="1"/>
  <c r="E56" i="10" s="1"/>
  <c r="M56" i="10" s="1"/>
  <c r="L67" i="1"/>
  <c r="E60" i="10" s="1"/>
  <c r="L71" i="1"/>
  <c r="E64" i="10" s="1"/>
  <c r="M64" i="10" s="1"/>
  <c r="L75" i="1"/>
  <c r="E68" i="10" s="1"/>
  <c r="B68" i="10" s="1"/>
  <c r="L79" i="1"/>
  <c r="E72" i="10" s="1"/>
  <c r="M72" i="10" s="1"/>
  <c r="L83" i="1"/>
  <c r="E76" i="10" s="1"/>
  <c r="L87" i="1"/>
  <c r="E80" i="10" s="1"/>
  <c r="M80" i="10" s="1"/>
  <c r="L91" i="1"/>
  <c r="E84" i="10" s="1"/>
  <c r="M84" i="10" s="1"/>
  <c r="L95" i="1"/>
  <c r="E88" i="10" s="1"/>
  <c r="M88" i="10" s="1"/>
  <c r="L99" i="1"/>
  <c r="E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L187" i="1"/>
  <c r="E180" i="10" s="1"/>
  <c r="C180" i="10" s="1"/>
  <c r="L185" i="1"/>
  <c r="E178" i="10" s="1"/>
  <c r="B178" i="10" s="1"/>
  <c r="L183" i="1"/>
  <c r="E176" i="10" s="1"/>
  <c r="M176" i="10" s="1"/>
  <c r="L181" i="1"/>
  <c r="E174" i="10" s="1"/>
  <c r="L179" i="1"/>
  <c r="E172" i="10" s="1"/>
  <c r="L177" i="1"/>
  <c r="E170" i="10" s="1"/>
  <c r="B170" i="10" s="1"/>
  <c r="L175" i="1"/>
  <c r="E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L165" i="1"/>
  <c r="E158" i="10" s="1"/>
  <c r="L163" i="1"/>
  <c r="E156" i="10" s="1"/>
  <c r="B156" i="10" s="1"/>
  <c r="L161" i="1"/>
  <c r="E154" i="10" s="1"/>
  <c r="B154" i="10" s="1"/>
  <c r="L159" i="1"/>
  <c r="E152" i="10" s="1"/>
  <c r="L157" i="1"/>
  <c r="E150" i="10" s="1"/>
  <c r="L155" i="1"/>
  <c r="E148" i="10" s="1"/>
  <c r="B148" i="10" s="1"/>
  <c r="L153" i="1"/>
  <c r="E146" i="10" s="1"/>
  <c r="L151" i="1"/>
  <c r="E144" i="10" s="1"/>
  <c r="L149" i="1"/>
  <c r="E142" i="10" s="1"/>
  <c r="L147" i="1"/>
  <c r="E140" i="10" s="1"/>
  <c r="B140" i="10" s="1"/>
  <c r="L145" i="1"/>
  <c r="E138" i="10" s="1"/>
  <c r="B138" i="10" s="1"/>
  <c r="L143" i="1"/>
  <c r="E136" i="10" s="1"/>
  <c r="L141" i="1"/>
  <c r="E134" i="10" s="1"/>
  <c r="L139" i="1"/>
  <c r="E132" i="10" s="1"/>
  <c r="B132" i="10" s="1"/>
  <c r="L137" i="1"/>
  <c r="E130" i="10" s="1"/>
  <c r="B130" i="10" s="1"/>
  <c r="L135" i="1"/>
  <c r="E128" i="10" s="1"/>
  <c r="L133" i="1"/>
  <c r="E126" i="10" s="1"/>
  <c r="L131" i="1"/>
  <c r="E124" i="10" s="1"/>
  <c r="B124" i="10" s="1"/>
  <c r="L129" i="1"/>
  <c r="E122" i="10" s="1"/>
  <c r="B122" i="10" s="1"/>
  <c r="L127" i="1"/>
  <c r="E120" i="10" s="1"/>
  <c r="L125" i="1"/>
  <c r="E118" i="10" s="1"/>
  <c r="L123" i="1"/>
  <c r="E116" i="10" s="1"/>
  <c r="B116" i="10" s="1"/>
  <c r="L121" i="1"/>
  <c r="E114" i="10" s="1"/>
  <c r="L119" i="1"/>
  <c r="E112" i="10" s="1"/>
  <c r="L117" i="1"/>
  <c r="E110" i="10" s="1"/>
  <c r="L115" i="1"/>
  <c r="E108" i="10" s="1"/>
  <c r="B108" i="10" s="1"/>
  <c r="L113" i="1"/>
  <c r="E106" i="10" s="1"/>
  <c r="B106" i="10" s="1"/>
  <c r="L111" i="1"/>
  <c r="E104" i="10" s="1"/>
  <c r="M104" i="10" s="1"/>
  <c r="L109" i="1"/>
  <c r="E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L190" i="1"/>
  <c r="E183" i="10" s="1"/>
  <c r="B183" i="10" s="1"/>
  <c r="I183" i="10" s="1"/>
  <c r="L188" i="1"/>
  <c r="E181" i="10" s="1"/>
  <c r="L186" i="1"/>
  <c r="E179" i="10" s="1"/>
  <c r="L184" i="1"/>
  <c r="E177" i="10" s="1"/>
  <c r="C177" i="10" s="1"/>
  <c r="L182" i="1"/>
  <c r="E175" i="10" s="1"/>
  <c r="B175" i="10" s="1"/>
  <c r="I175" i="10" s="1"/>
  <c r="L180" i="1"/>
  <c r="E173" i="10" s="1"/>
  <c r="L178" i="1"/>
  <c r="E171" i="10" s="1"/>
  <c r="L176" i="1"/>
  <c r="E169" i="10" s="1"/>
  <c r="M169" i="10" s="1"/>
  <c r="L174" i="1"/>
  <c r="E167" i="10" s="1"/>
  <c r="C167" i="10" s="1"/>
  <c r="L172" i="1"/>
  <c r="E165" i="10" s="1"/>
  <c r="L170" i="1"/>
  <c r="E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L158" i="1"/>
  <c r="E151" i="10" s="1"/>
  <c r="B151" i="10" s="1"/>
  <c r="L156" i="1"/>
  <c r="E149" i="10" s="1"/>
  <c r="B149" i="10" s="1"/>
  <c r="L154" i="1"/>
  <c r="E147" i="10" s="1"/>
  <c r="B147" i="10" s="1"/>
  <c r="L152" i="1"/>
  <c r="E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L142" i="1"/>
  <c r="E135" i="10" s="1"/>
  <c r="B135" i="10" s="1"/>
  <c r="L140" i="1"/>
  <c r="E133" i="10" s="1"/>
  <c r="B133" i="10" s="1"/>
  <c r="L138" i="1"/>
  <c r="E131" i="10" s="1"/>
  <c r="B131" i="10" s="1"/>
  <c r="L136" i="1"/>
  <c r="E129" i="10" s="1"/>
  <c r="L134" i="1"/>
  <c r="E127" i="10" s="1"/>
  <c r="B127" i="10" s="1"/>
  <c r="L132" i="1"/>
  <c r="E125" i="10" s="1"/>
  <c r="B125" i="10" s="1"/>
  <c r="L130" i="1"/>
  <c r="E123" i="10" s="1"/>
  <c r="B123" i="10" s="1"/>
  <c r="L128" i="1"/>
  <c r="E121" i="10" s="1"/>
  <c r="L126" i="1"/>
  <c r="E119" i="10" s="1"/>
  <c r="B119" i="10" s="1"/>
  <c r="L124" i="1"/>
  <c r="E117" i="10" s="1"/>
  <c r="B117" i="10" s="1"/>
  <c r="L122" i="1"/>
  <c r="E115" i="10" s="1"/>
  <c r="B115" i="10" s="1"/>
  <c r="L120" i="1"/>
  <c r="E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L104" i="1"/>
  <c r="E97" i="10" s="1"/>
  <c r="B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L94" i="1"/>
  <c r="E87" i="10" s="1"/>
  <c r="L92" i="1"/>
  <c r="E85" i="10" s="1"/>
  <c r="L90" i="1"/>
  <c r="E83" i="10" s="1"/>
  <c r="B83" i="10" s="1"/>
  <c r="L88" i="1"/>
  <c r="E81" i="10" s="1"/>
  <c r="B81" i="10" s="1"/>
  <c r="L86" i="1"/>
  <c r="E79" i="10" s="1"/>
  <c r="L84" i="1"/>
  <c r="E77" i="10" s="1"/>
  <c r="B77" i="10" s="1"/>
  <c r="L82" i="1"/>
  <c r="E75" i="10" s="1"/>
  <c r="L80" i="1"/>
  <c r="E73" i="10" s="1"/>
  <c r="B73" i="10" s="1"/>
  <c r="L78" i="1"/>
  <c r="E71" i="10" s="1"/>
  <c r="L76" i="1"/>
  <c r="E69" i="10" s="1"/>
  <c r="B69" i="10" s="1"/>
  <c r="L74" i="1"/>
  <c r="E67" i="10" s="1"/>
  <c r="L72" i="1"/>
  <c r="E65" i="10" s="1"/>
  <c r="B65" i="10" s="1"/>
  <c r="L70" i="1"/>
  <c r="E63" i="10" s="1"/>
  <c r="L68" i="1"/>
  <c r="E61" i="10" s="1"/>
  <c r="B61" i="10" s="1"/>
  <c r="L66" i="1"/>
  <c r="E59" i="10" s="1"/>
  <c r="L64" i="1"/>
  <c r="E57" i="10" s="1"/>
  <c r="B57" i="10" s="1"/>
  <c r="L62" i="1"/>
  <c r="E55" i="10" s="1"/>
  <c r="L60" i="1"/>
  <c r="E53" i="10" s="1"/>
  <c r="L58" i="1"/>
  <c r="E51" i="10" s="1"/>
  <c r="C51" i="10" s="1"/>
  <c r="L56" i="1"/>
  <c r="E49" i="10" s="1"/>
  <c r="L54" i="1"/>
  <c r="E47" i="10" s="1"/>
  <c r="M47" i="10" s="1"/>
  <c r="L10" i="1"/>
  <c r="E6" i="10" s="1"/>
  <c r="M6" i="10" s="1"/>
  <c r="L12" i="1"/>
  <c r="E8" i="10" s="1"/>
  <c r="B8" i="10" s="1"/>
  <c r="K8" i="10" s="1"/>
  <c r="L14" i="1"/>
  <c r="E2" i="10" s="1"/>
  <c r="L16" i="1"/>
  <c r="E4" i="10" s="1"/>
  <c r="L18" i="1"/>
  <c r="E11" i="10" s="1"/>
  <c r="M11" i="10" s="1"/>
  <c r="L20" i="1"/>
  <c r="E13" i="10" s="1"/>
  <c r="C13" i="10" s="1"/>
  <c r="L22" i="1"/>
  <c r="E15" i="10" s="1"/>
  <c r="M15" i="10" s="1"/>
  <c r="L24" i="1"/>
  <c r="E17" i="10" s="1"/>
  <c r="C17" i="10" s="1"/>
  <c r="L26" i="1"/>
  <c r="E19" i="10" s="1"/>
  <c r="M19" i="10" s="1"/>
  <c r="L28" i="1"/>
  <c r="E21" i="10" s="1"/>
  <c r="L30" i="1"/>
  <c r="E23" i="10" s="1"/>
  <c r="C23" i="10" s="1"/>
  <c r="L32" i="1"/>
  <c r="E25" i="10" s="1"/>
  <c r="M25" i="10" s="1"/>
  <c r="L34" i="1"/>
  <c r="E27" i="10" s="1"/>
  <c r="C27" i="10" s="1"/>
  <c r="L36" i="1"/>
  <c r="E29" i="10" s="1"/>
  <c r="M29" i="10" s="1"/>
  <c r="L38" i="1"/>
  <c r="E31" i="10" s="1"/>
  <c r="L40" i="1"/>
  <c r="E33" i="10" s="1"/>
  <c r="C33" i="10" s="1"/>
  <c r="L42" i="1"/>
  <c r="E35" i="10" s="1"/>
  <c r="L44" i="1"/>
  <c r="E37" i="10" s="1"/>
  <c r="C37" i="10" s="1"/>
  <c r="L46" i="1"/>
  <c r="E39" i="10" s="1"/>
  <c r="M39" i="10" s="1"/>
  <c r="L48" i="1"/>
  <c r="E41" i="10" s="1"/>
  <c r="C41" i="10" s="1"/>
  <c r="L50" i="1"/>
  <c r="E43" i="10" s="1"/>
  <c r="L52" i="1"/>
  <c r="E45" i="10" s="1"/>
  <c r="M54" i="1"/>
  <c r="F47" i="10" s="1"/>
  <c r="G47" i="10" s="1"/>
  <c r="L57" i="1"/>
  <c r="E50" i="10" s="1"/>
  <c r="C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7" i="10"/>
  <c r="L7" i="10" s="1"/>
  <c r="C8" i="10"/>
  <c r="D8" i="10" s="1"/>
  <c r="C4" i="10"/>
  <c r="C21" i="10"/>
  <c r="C42" i="10"/>
  <c r="B78" i="10"/>
  <c r="A78" i="10" s="1"/>
  <c r="B100" i="10"/>
  <c r="C172" i="10"/>
  <c r="C45" i="10"/>
  <c r="B60" i="10"/>
  <c r="J60" i="10" s="1"/>
  <c r="B101" i="10"/>
  <c r="J101" i="10" s="1"/>
  <c r="C160" i="10"/>
  <c r="B163" i="10"/>
  <c r="J163" i="10" s="1"/>
  <c r="C31" i="10"/>
  <c r="C38" i="10"/>
  <c r="B94" i="10"/>
  <c r="B99" i="10"/>
  <c r="J99" i="10" s="1"/>
  <c r="C168" i="10"/>
  <c r="C185" i="10"/>
  <c r="C34" i="10"/>
  <c r="B76" i="10"/>
  <c r="K76" i="10" s="1"/>
  <c r="B82" i="10"/>
  <c r="L82" i="10" s="1"/>
  <c r="B158" i="10"/>
  <c r="L158" i="10" s="1"/>
  <c r="B182" i="10"/>
  <c r="K182" i="10" s="1"/>
  <c r="B190" i="10"/>
  <c r="L190" i="10" s="1"/>
  <c r="C30" i="10"/>
  <c r="C46" i="10"/>
  <c r="B66" i="10"/>
  <c r="B92" i="10"/>
  <c r="B98" i="10"/>
  <c r="B102" i="10"/>
  <c r="L102" i="10" s="1"/>
  <c r="B171" i="10"/>
  <c r="K171" i="10" s="1"/>
  <c r="C189" i="10"/>
  <c r="C72" i="10"/>
  <c r="B72" i="10"/>
  <c r="K72" i="10" s="1"/>
  <c r="B96" i="10"/>
  <c r="J96" i="10" s="1"/>
  <c r="B89" i="10"/>
  <c r="K89" i="10" s="1"/>
  <c r="C104" i="10"/>
  <c r="C56" i="10"/>
  <c r="B56" i="10"/>
  <c r="K56" i="10" s="1"/>
  <c r="B174" i="10"/>
  <c r="J174" i="10" s="1"/>
  <c r="C24" i="10"/>
  <c r="C32" i="10"/>
  <c r="C36" i="10"/>
  <c r="C40" i="10"/>
  <c r="C48" i="10"/>
  <c r="B58" i="10"/>
  <c r="J58" i="10" s="1"/>
  <c r="B62" i="10"/>
  <c r="L62" i="10" s="1"/>
  <c r="B87" i="10"/>
  <c r="J87" i="10" s="1"/>
  <c r="C88" i="10"/>
  <c r="B88" i="10"/>
  <c r="C105" i="10"/>
  <c r="B179" i="10"/>
  <c r="J179" i="10" s="1"/>
  <c r="B186" i="10"/>
  <c r="I186" i="10" s="1"/>
  <c r="L8" i="10"/>
  <c r="J8" i="10"/>
  <c r="I8" i="10"/>
  <c r="H8" i="10"/>
  <c r="L99" i="10"/>
  <c r="K99" i="10"/>
  <c r="B53" i="10"/>
  <c r="B55" i="10"/>
  <c r="B59" i="10"/>
  <c r="B63" i="10"/>
  <c r="B67" i="10"/>
  <c r="B71" i="10"/>
  <c r="B75" i="10"/>
  <c r="B79" i="10"/>
  <c r="K92" i="10"/>
  <c r="H92" i="10"/>
  <c r="K100" i="10"/>
  <c r="I101" i="10"/>
  <c r="L179" i="10"/>
  <c r="L60" i="10"/>
  <c r="L72" i="10"/>
  <c r="H72" i="10"/>
  <c r="I76" i="10"/>
  <c r="J78" i="10"/>
  <c r="B109" i="10"/>
  <c r="B110" i="10"/>
  <c r="B112" i="10"/>
  <c r="B113" i="10"/>
  <c r="B114" i="10"/>
  <c r="B118" i="10"/>
  <c r="B120" i="10"/>
  <c r="B121" i="10"/>
  <c r="B126" i="10"/>
  <c r="B128" i="10"/>
  <c r="B129" i="10"/>
  <c r="B134" i="10"/>
  <c r="B136" i="10"/>
  <c r="B137" i="10"/>
  <c r="B141" i="10"/>
  <c r="B142" i="10"/>
  <c r="B144" i="10"/>
  <c r="B145" i="10"/>
  <c r="B146" i="10"/>
  <c r="B150" i="10"/>
  <c r="B152" i="10"/>
  <c r="B153" i="10"/>
  <c r="J182" i="10"/>
  <c r="C6" i="10"/>
  <c r="I162" i="10" l="1"/>
  <c r="L162" i="10"/>
  <c r="A162" i="10"/>
  <c r="K170" i="10"/>
  <c r="J170" i="10"/>
  <c r="I170" i="10"/>
  <c r="L178" i="10"/>
  <c r="I178" i="10"/>
  <c r="I68" i="10"/>
  <c r="L68" i="10"/>
  <c r="A52" i="10"/>
  <c r="L52" i="10"/>
  <c r="H186" i="10"/>
  <c r="I158" i="10"/>
  <c r="H78" i="10"/>
  <c r="L76" i="10"/>
  <c r="A163" i="10"/>
  <c r="A190" i="10"/>
  <c r="I174" i="10"/>
  <c r="H76" i="10"/>
  <c r="I72" i="10"/>
  <c r="H89" i="10"/>
  <c r="I89" i="10"/>
  <c r="M7" i="10"/>
  <c r="K83" i="10"/>
  <c r="I83" i="10"/>
  <c r="H83" i="10"/>
  <c r="J83" i="10"/>
  <c r="J91" i="10"/>
  <c r="K91" i="10"/>
  <c r="A91" i="10"/>
  <c r="L91" i="10"/>
  <c r="I159" i="10"/>
  <c r="K159" i="10"/>
  <c r="L97" i="10"/>
  <c r="J97" i="10"/>
  <c r="I97" i="10"/>
  <c r="H97" i="10"/>
  <c r="B5" i="10"/>
  <c r="K158" i="10"/>
  <c r="I56" i="10"/>
  <c r="D100" i="10"/>
  <c r="M100" i="10"/>
  <c r="H190" i="10"/>
  <c r="K186" i="10"/>
  <c r="K87" i="10"/>
  <c r="J102" i="10"/>
  <c r="J89" i="10"/>
  <c r="H102" i="10"/>
  <c r="K163" i="10"/>
  <c r="C96" i="10"/>
  <c r="J190" i="10"/>
  <c r="A158" i="10"/>
  <c r="H60" i="10"/>
  <c r="H52" i="10"/>
  <c r="I171" i="10"/>
  <c r="B64" i="10"/>
  <c r="B80" i="10"/>
  <c r="L80" i="10" s="1"/>
  <c r="K190" i="10"/>
  <c r="L182" i="10"/>
  <c r="H158" i="10"/>
  <c r="K78" i="10"/>
  <c r="H68" i="10"/>
  <c r="I60" i="10"/>
  <c r="I52" i="10"/>
  <c r="J171" i="10"/>
  <c r="H100" i="10"/>
  <c r="A99" i="10"/>
  <c r="A8" i="10"/>
  <c r="B105" i="10"/>
  <c r="L105" i="10" s="1"/>
  <c r="C64" i="10"/>
  <c r="B104" i="10"/>
  <c r="H104" i="10" s="1"/>
  <c r="C80" i="10"/>
  <c r="B43" i="10"/>
  <c r="M43" i="10"/>
  <c r="B35" i="10"/>
  <c r="A35" i="10" s="1"/>
  <c r="M35" i="10"/>
  <c r="B31" i="10"/>
  <c r="L31" i="10" s="1"/>
  <c r="M31" i="10"/>
  <c r="B27" i="10"/>
  <c r="A27" i="10" s="1"/>
  <c r="M27" i="10"/>
  <c r="B23" i="10"/>
  <c r="M23" i="10"/>
  <c r="B49" i="10"/>
  <c r="J49" i="10" s="1"/>
  <c r="M49" i="10"/>
  <c r="C53" i="10"/>
  <c r="M53" i="10"/>
  <c r="C57" i="10"/>
  <c r="D57" i="10" s="1"/>
  <c r="M57" i="10"/>
  <c r="C61" i="10"/>
  <c r="D61" i="10" s="1"/>
  <c r="M61" i="10"/>
  <c r="C65" i="10"/>
  <c r="D65" i="10" s="1"/>
  <c r="M65" i="10"/>
  <c r="C69" i="10"/>
  <c r="M69" i="10"/>
  <c r="C73" i="10"/>
  <c r="M73" i="10"/>
  <c r="C77" i="10"/>
  <c r="M77" i="10"/>
  <c r="C81" i="10"/>
  <c r="D81" i="10" s="1"/>
  <c r="M81" i="10"/>
  <c r="C85" i="10"/>
  <c r="M85" i="10"/>
  <c r="C89" i="10"/>
  <c r="D89" i="10" s="1"/>
  <c r="M89" i="10"/>
  <c r="C93" i="10"/>
  <c r="M93" i="10"/>
  <c r="C97" i="10"/>
  <c r="D97" i="10" s="1"/>
  <c r="M97" i="10"/>
  <c r="C101" i="10"/>
  <c r="D101" i="10" s="1"/>
  <c r="M101" i="10"/>
  <c r="C109" i="10"/>
  <c r="D109" i="10" s="1"/>
  <c r="M109" i="10"/>
  <c r="C113" i="10"/>
  <c r="D113" i="10" s="1"/>
  <c r="M113" i="10"/>
  <c r="C117" i="10"/>
  <c r="D117" i="10" s="1"/>
  <c r="M117" i="10"/>
  <c r="C121" i="10"/>
  <c r="M121" i="10"/>
  <c r="C125" i="10"/>
  <c r="M125" i="10"/>
  <c r="C129" i="10"/>
  <c r="M129" i="10"/>
  <c r="C133" i="10"/>
  <c r="D133" i="10" s="1"/>
  <c r="M133" i="10"/>
  <c r="C137" i="10"/>
  <c r="D137" i="10" s="1"/>
  <c r="M137" i="10"/>
  <c r="C141" i="10"/>
  <c r="D141" i="10" s="1"/>
  <c r="M141" i="10"/>
  <c r="C145" i="10"/>
  <c r="M145" i="10"/>
  <c r="C149" i="10"/>
  <c r="D149" i="10" s="1"/>
  <c r="M149" i="10"/>
  <c r="C153" i="10"/>
  <c r="D153" i="10" s="1"/>
  <c r="M153" i="10"/>
  <c r="B157" i="10"/>
  <c r="M157" i="10"/>
  <c r="B165" i="10"/>
  <c r="L165" i="10" s="1"/>
  <c r="M165" i="10"/>
  <c r="B173" i="10"/>
  <c r="J173" i="10" s="1"/>
  <c r="M173" i="10"/>
  <c r="B177" i="10"/>
  <c r="M177" i="10"/>
  <c r="B181" i="10"/>
  <c r="M181" i="10"/>
  <c r="B185" i="10"/>
  <c r="M185" i="10"/>
  <c r="B189" i="10"/>
  <c r="H189" i="10" s="1"/>
  <c r="M189" i="10"/>
  <c r="C102" i="10"/>
  <c r="D102" i="10" s="1"/>
  <c r="M102" i="10"/>
  <c r="C106" i="10"/>
  <c r="D106" i="10" s="1"/>
  <c r="M106" i="10"/>
  <c r="C110" i="10"/>
  <c r="M110" i="10"/>
  <c r="C114" i="10"/>
  <c r="D114" i="10" s="1"/>
  <c r="M114" i="10"/>
  <c r="C118" i="10"/>
  <c r="M118" i="10"/>
  <c r="C122" i="10"/>
  <c r="D122" i="10" s="1"/>
  <c r="M122" i="10"/>
  <c r="C126" i="10"/>
  <c r="D126" i="10" s="1"/>
  <c r="M126" i="10"/>
  <c r="C130" i="10"/>
  <c r="D130" i="10" s="1"/>
  <c r="M130" i="10"/>
  <c r="C134" i="10"/>
  <c r="M134" i="10"/>
  <c r="C138" i="10"/>
  <c r="D138" i="10" s="1"/>
  <c r="M138" i="10"/>
  <c r="C142" i="10"/>
  <c r="M142" i="10"/>
  <c r="C146" i="10"/>
  <c r="D146" i="10" s="1"/>
  <c r="M146" i="10"/>
  <c r="C150" i="10"/>
  <c r="M150" i="10"/>
  <c r="C154" i="10"/>
  <c r="D154" i="10" s="1"/>
  <c r="M154" i="10"/>
  <c r="C158" i="10"/>
  <c r="D158" i="10" s="1"/>
  <c r="M158" i="10"/>
  <c r="C162" i="10"/>
  <c r="D162" i="10" s="1"/>
  <c r="M162" i="10"/>
  <c r="C170" i="10"/>
  <c r="D170" i="10" s="1"/>
  <c r="M170" i="10"/>
  <c r="C174" i="10"/>
  <c r="D174" i="10" s="1"/>
  <c r="M174" i="10"/>
  <c r="C178" i="10"/>
  <c r="M178" i="10"/>
  <c r="C182" i="10"/>
  <c r="D182" i="10" s="1"/>
  <c r="M182" i="10"/>
  <c r="C186" i="10"/>
  <c r="D186" i="10" s="1"/>
  <c r="M186" i="10"/>
  <c r="C190" i="10"/>
  <c r="D190" i="10" s="1"/>
  <c r="M190" i="10"/>
  <c r="C92" i="10"/>
  <c r="D92" i="10" s="1"/>
  <c r="M92" i="10"/>
  <c r="C76" i="10"/>
  <c r="D76" i="10" s="1"/>
  <c r="M76" i="10"/>
  <c r="C68" i="10"/>
  <c r="D68" i="10" s="1"/>
  <c r="M68" i="10"/>
  <c r="C60" i="10"/>
  <c r="D60" i="10" s="1"/>
  <c r="M60" i="10"/>
  <c r="C52" i="10"/>
  <c r="D52" i="10" s="1"/>
  <c r="M52" i="10"/>
  <c r="B44" i="10"/>
  <c r="M44" i="10"/>
  <c r="B40" i="10"/>
  <c r="M40" i="10"/>
  <c r="B36" i="10"/>
  <c r="M36" i="10"/>
  <c r="B32" i="10"/>
  <c r="M32" i="10"/>
  <c r="B28" i="10"/>
  <c r="M28" i="10"/>
  <c r="B24" i="10"/>
  <c r="M24" i="10"/>
  <c r="M8" i="10"/>
  <c r="M4" i="10"/>
  <c r="C98" i="10"/>
  <c r="M98" i="10"/>
  <c r="C90" i="10"/>
  <c r="D90" i="10" s="1"/>
  <c r="M90" i="10"/>
  <c r="C82" i="10"/>
  <c r="D82" i="10" s="1"/>
  <c r="M82" i="10"/>
  <c r="C74" i="10"/>
  <c r="D74" i="10" s="1"/>
  <c r="M74" i="10"/>
  <c r="C66" i="10"/>
  <c r="D66" i="10" s="1"/>
  <c r="M66" i="10"/>
  <c r="C58" i="10"/>
  <c r="D58" i="10" s="1"/>
  <c r="M58" i="10"/>
  <c r="D98" i="10"/>
  <c r="B50" i="10"/>
  <c r="M50" i="10"/>
  <c r="B45" i="10"/>
  <c r="M45" i="10"/>
  <c r="B41" i="10"/>
  <c r="M41" i="10"/>
  <c r="B37" i="10"/>
  <c r="M37" i="10"/>
  <c r="B33" i="10"/>
  <c r="M33" i="10"/>
  <c r="B21" i="10"/>
  <c r="D21" i="10" s="1"/>
  <c r="M21" i="10"/>
  <c r="B17" i="10"/>
  <c r="M17" i="10"/>
  <c r="B13" i="10"/>
  <c r="M13" i="10"/>
  <c r="B51" i="10"/>
  <c r="M51" i="10"/>
  <c r="C55" i="10"/>
  <c r="M55" i="10"/>
  <c r="C59" i="10"/>
  <c r="D59" i="10" s="1"/>
  <c r="M59" i="10"/>
  <c r="C63" i="10"/>
  <c r="D63" i="10" s="1"/>
  <c r="M63" i="10"/>
  <c r="C67" i="10"/>
  <c r="D67" i="10" s="1"/>
  <c r="M67" i="10"/>
  <c r="C71" i="10"/>
  <c r="M71" i="10"/>
  <c r="C75" i="10"/>
  <c r="D75" i="10" s="1"/>
  <c r="M75" i="10"/>
  <c r="C79" i="10"/>
  <c r="D79" i="10" s="1"/>
  <c r="M79" i="10"/>
  <c r="C83" i="10"/>
  <c r="D83" i="10" s="1"/>
  <c r="M83" i="10"/>
  <c r="C87" i="10"/>
  <c r="M87" i="10"/>
  <c r="C91" i="10"/>
  <c r="D91" i="10" s="1"/>
  <c r="M91" i="10"/>
  <c r="C99" i="10"/>
  <c r="D99" i="10" s="1"/>
  <c r="M99" i="10"/>
  <c r="C107" i="10"/>
  <c r="D107" i="10" s="1"/>
  <c r="M107" i="10"/>
  <c r="C111" i="10"/>
  <c r="M111" i="10"/>
  <c r="C115" i="10"/>
  <c r="D115" i="10" s="1"/>
  <c r="M115" i="10"/>
  <c r="C119" i="10"/>
  <c r="M119" i="10"/>
  <c r="C123" i="10"/>
  <c r="D123" i="10" s="1"/>
  <c r="M123" i="10"/>
  <c r="C127" i="10"/>
  <c r="M127" i="10"/>
  <c r="C131" i="10"/>
  <c r="M131" i="10"/>
  <c r="C135" i="10"/>
  <c r="D135" i="10" s="1"/>
  <c r="M135" i="10"/>
  <c r="C139" i="10"/>
  <c r="D139" i="10" s="1"/>
  <c r="M139" i="10"/>
  <c r="C143" i="10"/>
  <c r="M143" i="10"/>
  <c r="C147" i="10"/>
  <c r="D147" i="10" s="1"/>
  <c r="M147" i="10"/>
  <c r="C151" i="10"/>
  <c r="D151" i="10" s="1"/>
  <c r="M151" i="10"/>
  <c r="C155" i="10"/>
  <c r="D155" i="10" s="1"/>
  <c r="M155" i="10"/>
  <c r="C159" i="10"/>
  <c r="M159" i="10"/>
  <c r="C163" i="10"/>
  <c r="D163" i="10" s="1"/>
  <c r="M163" i="10"/>
  <c r="B167" i="10"/>
  <c r="D167" i="10" s="1"/>
  <c r="M167" i="10"/>
  <c r="C171" i="10"/>
  <c r="D171" i="10" s="1"/>
  <c r="M171" i="10"/>
  <c r="C175" i="10"/>
  <c r="M175" i="10"/>
  <c r="C179" i="10"/>
  <c r="M179" i="10"/>
  <c r="C183" i="10"/>
  <c r="M183" i="10"/>
  <c r="C108" i="10"/>
  <c r="D108" i="10" s="1"/>
  <c r="M108" i="10"/>
  <c r="C112" i="10"/>
  <c r="M112" i="10"/>
  <c r="C116" i="10"/>
  <c r="D116" i="10" s="1"/>
  <c r="M116" i="10"/>
  <c r="C120" i="10"/>
  <c r="M120" i="10"/>
  <c r="C124" i="10"/>
  <c r="D124" i="10" s="1"/>
  <c r="M124" i="10"/>
  <c r="C128" i="10"/>
  <c r="M128" i="10"/>
  <c r="C132" i="10"/>
  <c r="D132" i="10" s="1"/>
  <c r="M132" i="10"/>
  <c r="C136" i="10"/>
  <c r="M136" i="10"/>
  <c r="C140" i="10"/>
  <c r="D140" i="10" s="1"/>
  <c r="M140" i="10"/>
  <c r="C144" i="10"/>
  <c r="M144" i="10"/>
  <c r="C148" i="10"/>
  <c r="D148" i="10" s="1"/>
  <c r="M148" i="10"/>
  <c r="C152" i="10"/>
  <c r="M152" i="10"/>
  <c r="C156" i="10"/>
  <c r="D156" i="10" s="1"/>
  <c r="M156" i="10"/>
  <c r="B160" i="10"/>
  <c r="M160" i="10"/>
  <c r="B168" i="10"/>
  <c r="M168" i="10"/>
  <c r="B172" i="10"/>
  <c r="M172" i="10"/>
  <c r="B180" i="10"/>
  <c r="D180" i="10" s="1"/>
  <c r="M180" i="10"/>
  <c r="B188" i="10"/>
  <c r="M188" i="10"/>
  <c r="B46" i="10"/>
  <c r="M46" i="10"/>
  <c r="B42" i="10"/>
  <c r="M42" i="10"/>
  <c r="B38" i="10"/>
  <c r="M38" i="10"/>
  <c r="B34" i="10"/>
  <c r="M34" i="10"/>
  <c r="B30" i="10"/>
  <c r="D30" i="10" s="1"/>
  <c r="M30" i="10"/>
  <c r="B26" i="10"/>
  <c r="M26" i="10"/>
  <c r="M2" i="10"/>
  <c r="M5" i="10"/>
  <c r="C94" i="10"/>
  <c r="D94" i="10" s="1"/>
  <c r="M94" i="10"/>
  <c r="C86" i="10"/>
  <c r="D86" i="10" s="1"/>
  <c r="M86" i="10"/>
  <c r="C78" i="10"/>
  <c r="D78" i="10" s="1"/>
  <c r="M78" i="10"/>
  <c r="C62" i="10"/>
  <c r="D62" i="10" s="1"/>
  <c r="M62" i="10"/>
  <c r="C54" i="10"/>
  <c r="M54" i="10"/>
  <c r="B48" i="10"/>
  <c r="M48" i="10"/>
  <c r="B4" i="10"/>
  <c r="M9" i="10"/>
  <c r="K7" i="10"/>
  <c r="H7" i="10"/>
  <c r="B6" i="10"/>
  <c r="J6" i="10" s="1"/>
  <c r="M3" i="10"/>
  <c r="D178" i="10"/>
  <c r="I94" i="10"/>
  <c r="I86" i="10"/>
  <c r="J92" i="10"/>
  <c r="L43" i="10"/>
  <c r="B39" i="10"/>
  <c r="C39" i="10"/>
  <c r="B15" i="10"/>
  <c r="C15" i="10"/>
  <c r="B2" i="10"/>
  <c r="C2" i="10"/>
  <c r="B161" i="10"/>
  <c r="C161" i="10"/>
  <c r="B169" i="10"/>
  <c r="C169" i="10"/>
  <c r="B166" i="10"/>
  <c r="C166" i="10"/>
  <c r="B16" i="10"/>
  <c r="C16" i="10"/>
  <c r="B3" i="10"/>
  <c r="C3" i="10"/>
  <c r="H162" i="10"/>
  <c r="K162" i="10"/>
  <c r="J100" i="10"/>
  <c r="A175" i="10"/>
  <c r="A159" i="10"/>
  <c r="J7" i="10"/>
  <c r="C165" i="10"/>
  <c r="D165" i="10" s="1"/>
  <c r="J178" i="10"/>
  <c r="J162" i="10"/>
  <c r="H181" i="10"/>
  <c r="A102" i="10"/>
  <c r="K102" i="10"/>
  <c r="L94" i="10"/>
  <c r="L78" i="10"/>
  <c r="J72" i="10"/>
  <c r="H179" i="10"/>
  <c r="H171" i="10"/>
  <c r="L171" i="10"/>
  <c r="L163" i="10"/>
  <c r="H101" i="10"/>
  <c r="A97" i="10"/>
  <c r="K97" i="10"/>
  <c r="L89" i="10"/>
  <c r="I100" i="10"/>
  <c r="I92" i="10"/>
  <c r="K175" i="10"/>
  <c r="H159" i="10"/>
  <c r="K23" i="10"/>
  <c r="D7" i="10"/>
  <c r="I7" i="10"/>
  <c r="I35" i="10"/>
  <c r="D105" i="10"/>
  <c r="C49" i="10"/>
  <c r="B29" i="10"/>
  <c r="C29" i="10"/>
  <c r="C187" i="10"/>
  <c r="B187" i="10"/>
  <c r="B176" i="10"/>
  <c r="C176" i="10"/>
  <c r="B184" i="10"/>
  <c r="C184" i="10"/>
  <c r="B22" i="10"/>
  <c r="C22" i="10"/>
  <c r="B14" i="10"/>
  <c r="C14" i="10"/>
  <c r="B9" i="10"/>
  <c r="C9" i="10"/>
  <c r="B11" i="10"/>
  <c r="C11" i="10"/>
  <c r="C84" i="10"/>
  <c r="B84" i="10"/>
  <c r="B20" i="10"/>
  <c r="C20" i="10"/>
  <c r="B12" i="10"/>
  <c r="C12" i="10"/>
  <c r="B19" i="10"/>
  <c r="C19" i="10"/>
  <c r="L186" i="10"/>
  <c r="I102" i="10"/>
  <c r="H94" i="10"/>
  <c r="K90" i="10"/>
  <c r="I78" i="10"/>
  <c r="J74" i="10"/>
  <c r="A171" i="10"/>
  <c r="H163" i="10"/>
  <c r="L101" i="10"/>
  <c r="A89" i="10"/>
  <c r="A100" i="10"/>
  <c r="L100" i="10"/>
  <c r="A92" i="10"/>
  <c r="L92" i="10"/>
  <c r="A183" i="10"/>
  <c r="L159" i="10"/>
  <c r="A23" i="10"/>
  <c r="A7" i="10"/>
  <c r="H43" i="10"/>
  <c r="C173" i="10"/>
  <c r="D88" i="10"/>
  <c r="C181" i="10"/>
  <c r="C157" i="10"/>
  <c r="B85" i="10"/>
  <c r="D85" i="10" s="1"/>
  <c r="C43" i="10"/>
  <c r="D43" i="10" s="1"/>
  <c r="B93" i="10"/>
  <c r="L93" i="10" s="1"/>
  <c r="C35" i="10"/>
  <c r="B25" i="10"/>
  <c r="C25" i="10"/>
  <c r="B47" i="10"/>
  <c r="C47" i="10"/>
  <c r="C95" i="10"/>
  <c r="B95" i="10"/>
  <c r="C103" i="10"/>
  <c r="B103" i="10"/>
  <c r="B164" i="10"/>
  <c r="C164" i="10"/>
  <c r="B18" i="10"/>
  <c r="C18" i="10"/>
  <c r="B10" i="10"/>
  <c r="C10" i="10"/>
  <c r="C70" i="10"/>
  <c r="B70" i="10"/>
  <c r="I190" i="10"/>
  <c r="A182" i="10"/>
  <c r="I182" i="10"/>
  <c r="A170" i="10"/>
  <c r="L170" i="10"/>
  <c r="J158" i="10"/>
  <c r="J76" i="10"/>
  <c r="H62" i="10"/>
  <c r="K60" i="10"/>
  <c r="L54" i="10"/>
  <c r="K52" i="10"/>
  <c r="L85" i="10"/>
  <c r="K88" i="10"/>
  <c r="I99" i="10"/>
  <c r="I91" i="10"/>
  <c r="A87" i="10"/>
  <c r="A83" i="10"/>
  <c r="L83" i="10"/>
  <c r="H182" i="10"/>
  <c r="A174" i="10"/>
  <c r="H170" i="10"/>
  <c r="J52" i="10"/>
  <c r="H99" i="10"/>
  <c r="H91" i="10"/>
  <c r="L87" i="10"/>
  <c r="A68" i="10"/>
  <c r="H178" i="10"/>
  <c r="K178" i="10"/>
  <c r="L174" i="10"/>
  <c r="A94" i="10"/>
  <c r="K94" i="10"/>
  <c r="I74" i="10"/>
  <c r="K68" i="10"/>
  <c r="I163" i="10"/>
  <c r="A101" i="10"/>
  <c r="K101" i="10"/>
  <c r="H88" i="10"/>
  <c r="D159" i="10"/>
  <c r="J159" i="10"/>
  <c r="I87" i="10"/>
  <c r="D104" i="10"/>
  <c r="D96" i="10"/>
  <c r="A60" i="10"/>
  <c r="A178" i="10"/>
  <c r="I98" i="10"/>
  <c r="J94" i="10"/>
  <c r="J82" i="10"/>
  <c r="H74" i="10"/>
  <c r="K74" i="10"/>
  <c r="J68" i="10"/>
  <c r="J66" i="10"/>
  <c r="K62" i="10"/>
  <c r="D87" i="10"/>
  <c r="K183" i="10"/>
  <c r="H87" i="10"/>
  <c r="A74" i="10"/>
  <c r="H98" i="10"/>
  <c r="J98" i="10"/>
  <c r="L90" i="10"/>
  <c r="J86" i="10"/>
  <c r="H82" i="10"/>
  <c r="K82" i="10"/>
  <c r="H66" i="10"/>
  <c r="K66" i="10"/>
  <c r="I62" i="10"/>
  <c r="H54" i="10"/>
  <c r="K54" i="10"/>
  <c r="I179" i="10"/>
  <c r="D183" i="10"/>
  <c r="J183" i="10"/>
  <c r="A66" i="10"/>
  <c r="A76" i="10"/>
  <c r="A98" i="10"/>
  <c r="K98" i="10"/>
  <c r="I90" i="10"/>
  <c r="H86" i="10"/>
  <c r="L86" i="10"/>
  <c r="L66" i="10"/>
  <c r="J62" i="10"/>
  <c r="I54" i="10"/>
  <c r="A179" i="10"/>
  <c r="K179" i="10"/>
  <c r="H183" i="10"/>
  <c r="L183" i="10"/>
  <c r="A82" i="10"/>
  <c r="L98" i="10"/>
  <c r="H90" i="10"/>
  <c r="J90" i="10"/>
  <c r="A86" i="10"/>
  <c r="K86" i="10"/>
  <c r="I82" i="10"/>
  <c r="I66" i="10"/>
  <c r="D179" i="10"/>
  <c r="A58" i="10"/>
  <c r="H58" i="10"/>
  <c r="I96" i="10"/>
  <c r="A88" i="10"/>
  <c r="D175" i="10"/>
  <c r="J175" i="10"/>
  <c r="D64" i="10"/>
  <c r="A64" i="10"/>
  <c r="D56" i="10"/>
  <c r="A56" i="10"/>
  <c r="J186" i="10"/>
  <c r="H174" i="10"/>
  <c r="K174" i="10"/>
  <c r="H80" i="10"/>
  <c r="H64" i="10"/>
  <c r="L64" i="10"/>
  <c r="L58" i="10"/>
  <c r="H56" i="10"/>
  <c r="L56" i="10"/>
  <c r="I104" i="10"/>
  <c r="H96" i="10"/>
  <c r="K96" i="10"/>
  <c r="J88" i="10"/>
  <c r="H175" i="10"/>
  <c r="L175" i="10"/>
  <c r="D72" i="10"/>
  <c r="A72" i="10"/>
  <c r="A80" i="10"/>
  <c r="D80" i="10"/>
  <c r="K58" i="10"/>
  <c r="L88" i="10"/>
  <c r="A186" i="10"/>
  <c r="J80" i="10"/>
  <c r="J64" i="10"/>
  <c r="I58" i="10"/>
  <c r="J56" i="10"/>
  <c r="I105" i="10"/>
  <c r="A96" i="10"/>
  <c r="L96" i="10"/>
  <c r="I88" i="10"/>
  <c r="A62" i="10"/>
  <c r="A54" i="10"/>
  <c r="D54" i="10"/>
  <c r="L153" i="10"/>
  <c r="K153" i="10"/>
  <c r="J153" i="10"/>
  <c r="I153" i="10"/>
  <c r="H153" i="10"/>
  <c r="A153" i="10"/>
  <c r="L141" i="10"/>
  <c r="K141" i="10"/>
  <c r="J141" i="10"/>
  <c r="I141" i="10"/>
  <c r="H141" i="10"/>
  <c r="A141" i="10"/>
  <c r="K129" i="10"/>
  <c r="L129" i="10"/>
  <c r="I129" i="10"/>
  <c r="J129" i="10"/>
  <c r="H129" i="10"/>
  <c r="D129" i="10"/>
  <c r="A129" i="10"/>
  <c r="K117" i="10"/>
  <c r="L117" i="10"/>
  <c r="J117" i="10"/>
  <c r="I117" i="10"/>
  <c r="H117" i="10"/>
  <c r="A117" i="10"/>
  <c r="L59" i="10"/>
  <c r="J59" i="10"/>
  <c r="K59" i="10"/>
  <c r="I59" i="10"/>
  <c r="H59" i="10"/>
  <c r="A59" i="10"/>
  <c r="L156" i="10"/>
  <c r="K156" i="10"/>
  <c r="J156" i="10"/>
  <c r="I156" i="10"/>
  <c r="H156" i="10"/>
  <c r="A156" i="10"/>
  <c r="L152" i="10"/>
  <c r="K152" i="10"/>
  <c r="J152" i="10"/>
  <c r="I152" i="10"/>
  <c r="H152" i="10"/>
  <c r="D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D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D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D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D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D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D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D145" i="10"/>
  <c r="A145" i="10"/>
  <c r="L133" i="10"/>
  <c r="J133" i="10"/>
  <c r="I133" i="10"/>
  <c r="K133" i="10"/>
  <c r="H133" i="10"/>
  <c r="A133" i="10"/>
  <c r="K121" i="10"/>
  <c r="L121" i="10"/>
  <c r="J121" i="10"/>
  <c r="I121" i="10"/>
  <c r="H121" i="10"/>
  <c r="D121" i="10"/>
  <c r="A121" i="10"/>
  <c r="K109" i="10"/>
  <c r="L109" i="10"/>
  <c r="J109" i="10"/>
  <c r="I109" i="10"/>
  <c r="H109" i="10"/>
  <c r="A109" i="10"/>
  <c r="L67" i="10"/>
  <c r="J67" i="10"/>
  <c r="K67" i="10"/>
  <c r="I67" i="10"/>
  <c r="H67" i="10"/>
  <c r="A67" i="10"/>
  <c r="L151" i="10"/>
  <c r="J151" i="10"/>
  <c r="K151" i="10"/>
  <c r="I151" i="10"/>
  <c r="H151" i="10"/>
  <c r="A151" i="10"/>
  <c r="L143" i="10"/>
  <c r="J143" i="10"/>
  <c r="I143" i="10"/>
  <c r="K143" i="10"/>
  <c r="H143" i="10"/>
  <c r="D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D131" i="10"/>
  <c r="A131" i="10"/>
  <c r="L123" i="10"/>
  <c r="J123" i="10"/>
  <c r="K123" i="10"/>
  <c r="I123" i="10"/>
  <c r="H123" i="10"/>
  <c r="A123" i="10"/>
  <c r="L119" i="10"/>
  <c r="J119" i="10"/>
  <c r="K119" i="10"/>
  <c r="I119" i="10"/>
  <c r="H119" i="10"/>
  <c r="D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D111" i="10"/>
  <c r="A111" i="10"/>
  <c r="L107" i="10"/>
  <c r="J107" i="10"/>
  <c r="K107" i="10"/>
  <c r="I107" i="10"/>
  <c r="H107" i="10"/>
  <c r="A107" i="10"/>
  <c r="L79" i="10"/>
  <c r="J79" i="10"/>
  <c r="K79" i="10"/>
  <c r="I79" i="10"/>
  <c r="H79" i="10"/>
  <c r="A79" i="10"/>
  <c r="L71" i="10"/>
  <c r="J71" i="10"/>
  <c r="K71" i="10"/>
  <c r="I71" i="10"/>
  <c r="D71" i="10"/>
  <c r="H71" i="10"/>
  <c r="A71" i="10"/>
  <c r="L63" i="10"/>
  <c r="J63" i="10"/>
  <c r="K63" i="10"/>
  <c r="I63" i="10"/>
  <c r="H63" i="10"/>
  <c r="A63" i="10"/>
  <c r="L55" i="10"/>
  <c r="J55" i="10"/>
  <c r="K55" i="10"/>
  <c r="I55" i="10"/>
  <c r="D55" i="10"/>
  <c r="H55" i="10"/>
  <c r="A55" i="10"/>
  <c r="L149" i="10"/>
  <c r="J149" i="10"/>
  <c r="K149" i="10"/>
  <c r="I149" i="10"/>
  <c r="H149" i="10"/>
  <c r="A149" i="10"/>
  <c r="L137" i="10"/>
  <c r="K137" i="10"/>
  <c r="J137" i="10"/>
  <c r="I137" i="10"/>
  <c r="H137" i="10"/>
  <c r="A137" i="10"/>
  <c r="K125" i="10"/>
  <c r="L125" i="10"/>
  <c r="J125" i="10"/>
  <c r="I125" i="10"/>
  <c r="H125" i="10"/>
  <c r="D125" i="10"/>
  <c r="A125" i="10"/>
  <c r="K113" i="10"/>
  <c r="L113" i="10"/>
  <c r="J113" i="10"/>
  <c r="I113" i="10"/>
  <c r="H113" i="10"/>
  <c r="A113" i="10"/>
  <c r="L75" i="10"/>
  <c r="J75" i="10"/>
  <c r="K75" i="10"/>
  <c r="I75" i="10"/>
  <c r="H75" i="10"/>
  <c r="A75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D127" i="10"/>
  <c r="A127" i="10"/>
  <c r="I154" i="10"/>
  <c r="L154" i="10"/>
  <c r="K154" i="10"/>
  <c r="J154" i="10"/>
  <c r="H154" i="10"/>
  <c r="A154" i="10"/>
  <c r="K150" i="10"/>
  <c r="L150" i="10"/>
  <c r="I150" i="10"/>
  <c r="J150" i="10"/>
  <c r="H150" i="10"/>
  <c r="D150" i="10"/>
  <c r="A150" i="10"/>
  <c r="K146" i="10"/>
  <c r="I146" i="10"/>
  <c r="L146" i="10"/>
  <c r="J146" i="10"/>
  <c r="H146" i="10"/>
  <c r="A146" i="10"/>
  <c r="K142" i="10"/>
  <c r="L142" i="10"/>
  <c r="I142" i="10"/>
  <c r="J142" i="10"/>
  <c r="H142" i="10"/>
  <c r="D142" i="10"/>
  <c r="A142" i="10"/>
  <c r="I138" i="10"/>
  <c r="L138" i="10"/>
  <c r="K138" i="10"/>
  <c r="J138" i="10"/>
  <c r="H138" i="10"/>
  <c r="A138" i="10"/>
  <c r="K134" i="10"/>
  <c r="L134" i="10"/>
  <c r="I134" i="10"/>
  <c r="J134" i="10"/>
  <c r="H134" i="10"/>
  <c r="D134" i="10"/>
  <c r="A134" i="10"/>
  <c r="J130" i="10"/>
  <c r="K130" i="10"/>
  <c r="I130" i="10"/>
  <c r="L130" i="10"/>
  <c r="H130" i="10"/>
  <c r="A130" i="10"/>
  <c r="K126" i="10"/>
  <c r="L126" i="10"/>
  <c r="I126" i="10"/>
  <c r="J126" i="10"/>
  <c r="H126" i="10"/>
  <c r="A126" i="10"/>
  <c r="K122" i="10"/>
  <c r="J122" i="10"/>
  <c r="I122" i="10"/>
  <c r="L122" i="10"/>
  <c r="H122" i="10"/>
  <c r="A122" i="10"/>
  <c r="K118" i="10"/>
  <c r="L118" i="10"/>
  <c r="I118" i="10"/>
  <c r="J118" i="10"/>
  <c r="H118" i="10"/>
  <c r="D118" i="10"/>
  <c r="A118" i="10"/>
  <c r="K114" i="10"/>
  <c r="J114" i="10"/>
  <c r="I114" i="10"/>
  <c r="L114" i="10"/>
  <c r="H114" i="10"/>
  <c r="A114" i="10"/>
  <c r="K110" i="10"/>
  <c r="L110" i="10"/>
  <c r="I110" i="10"/>
  <c r="J110" i="10"/>
  <c r="H110" i="10"/>
  <c r="D110" i="10"/>
  <c r="A110" i="10"/>
  <c r="K106" i="10"/>
  <c r="J106" i="10"/>
  <c r="I106" i="10"/>
  <c r="L106" i="10"/>
  <c r="H106" i="10"/>
  <c r="A106" i="10"/>
  <c r="K77" i="10"/>
  <c r="L77" i="10"/>
  <c r="J77" i="10"/>
  <c r="I77" i="10"/>
  <c r="D77" i="10"/>
  <c r="H77" i="10"/>
  <c r="A77" i="10"/>
  <c r="K69" i="10"/>
  <c r="L69" i="10"/>
  <c r="J69" i="10"/>
  <c r="I69" i="10"/>
  <c r="D69" i="10"/>
  <c r="H69" i="10"/>
  <c r="A69" i="10"/>
  <c r="K61" i="10"/>
  <c r="L61" i="10"/>
  <c r="J61" i="10"/>
  <c r="I61" i="10"/>
  <c r="H61" i="10"/>
  <c r="A61" i="10"/>
  <c r="K53" i="10"/>
  <c r="L53" i="10"/>
  <c r="J53" i="10"/>
  <c r="I53" i="10"/>
  <c r="D53" i="10"/>
  <c r="H53" i="10"/>
  <c r="A53" i="10"/>
  <c r="K6" i="10"/>
  <c r="L5" i="10"/>
  <c r="K5" i="10"/>
  <c r="J5" i="10"/>
  <c r="I5" i="10"/>
  <c r="H6" i="10"/>
  <c r="H5" i="10"/>
  <c r="D5" i="10"/>
  <c r="A5" i="10"/>
  <c r="L104" i="10" l="1"/>
  <c r="A189" i="10"/>
  <c r="K104" i="10"/>
  <c r="J104" i="10"/>
  <c r="A104" i="10"/>
  <c r="J105" i="10"/>
  <c r="K80" i="10"/>
  <c r="A85" i="10"/>
  <c r="D35" i="10"/>
  <c r="D157" i="10"/>
  <c r="I80" i="10"/>
  <c r="D93" i="10"/>
  <c r="H105" i="10"/>
  <c r="K105" i="10"/>
  <c r="A105" i="10"/>
  <c r="K85" i="10"/>
  <c r="H85" i="10"/>
  <c r="K64" i="10"/>
  <c r="I64" i="10"/>
  <c r="K48" i="10"/>
  <c r="J48" i="10"/>
  <c r="H48" i="10"/>
  <c r="L48" i="10"/>
  <c r="I48" i="10"/>
  <c r="A48" i="10"/>
  <c r="K26" i="10"/>
  <c r="I26" i="10"/>
  <c r="A26" i="10"/>
  <c r="D26" i="10"/>
  <c r="J26" i="10"/>
  <c r="H26" i="10"/>
  <c r="L26" i="10"/>
  <c r="J34" i="10"/>
  <c r="L34" i="10"/>
  <c r="H34" i="10"/>
  <c r="K34" i="10"/>
  <c r="A34" i="10"/>
  <c r="I34" i="10"/>
  <c r="J42" i="10"/>
  <c r="L42" i="10"/>
  <c r="H42" i="10"/>
  <c r="K42" i="10"/>
  <c r="I42" i="10"/>
  <c r="A42" i="10"/>
  <c r="K188" i="10"/>
  <c r="I188" i="10"/>
  <c r="A188" i="10"/>
  <c r="J188" i="10"/>
  <c r="L188" i="10"/>
  <c r="H188" i="10"/>
  <c r="L172" i="10"/>
  <c r="J172" i="10"/>
  <c r="H172" i="10"/>
  <c r="A172" i="10"/>
  <c r="I172" i="10"/>
  <c r="K172" i="10"/>
  <c r="D172" i="10"/>
  <c r="L160" i="10"/>
  <c r="J160" i="10"/>
  <c r="H160" i="10"/>
  <c r="I160" i="10"/>
  <c r="K160" i="10"/>
  <c r="A160" i="10"/>
  <c r="K28" i="10"/>
  <c r="J28" i="10"/>
  <c r="H28" i="10"/>
  <c r="L28" i="10"/>
  <c r="A28" i="10"/>
  <c r="I28" i="10"/>
  <c r="L36" i="10"/>
  <c r="I36" i="10"/>
  <c r="A36" i="10"/>
  <c r="K36" i="10"/>
  <c r="H36" i="10"/>
  <c r="J36" i="10"/>
  <c r="K40" i="10"/>
  <c r="J40" i="10"/>
  <c r="H40" i="10"/>
  <c r="L40" i="10"/>
  <c r="I40" i="10"/>
  <c r="A40" i="10"/>
  <c r="L44" i="10"/>
  <c r="I44" i="10"/>
  <c r="A44" i="10"/>
  <c r="D44" i="10"/>
  <c r="K44" i="10"/>
  <c r="J44" i="10"/>
  <c r="H44" i="10"/>
  <c r="L189" i="10"/>
  <c r="I189" i="10"/>
  <c r="D189" i="10"/>
  <c r="K189" i="10"/>
  <c r="K185" i="10"/>
  <c r="I185" i="10"/>
  <c r="A185" i="10"/>
  <c r="L185" i="10"/>
  <c r="J185" i="10"/>
  <c r="H185" i="10"/>
  <c r="J181" i="10"/>
  <c r="K181" i="10"/>
  <c r="A181" i="10"/>
  <c r="I181" i="10"/>
  <c r="K177" i="10"/>
  <c r="I177" i="10"/>
  <c r="A177" i="10"/>
  <c r="L177" i="10"/>
  <c r="J177" i="10"/>
  <c r="H177" i="10"/>
  <c r="L173" i="10"/>
  <c r="I173" i="10"/>
  <c r="K173" i="10"/>
  <c r="A173" i="10"/>
  <c r="J165" i="10"/>
  <c r="K165" i="10"/>
  <c r="A165" i="10"/>
  <c r="I165" i="10"/>
  <c r="K157" i="10"/>
  <c r="L157" i="10"/>
  <c r="H157" i="10"/>
  <c r="J157" i="10"/>
  <c r="A157" i="10"/>
  <c r="I49" i="10"/>
  <c r="L49" i="10"/>
  <c r="K49" i="10"/>
  <c r="A49" i="10"/>
  <c r="L23" i="10"/>
  <c r="J23" i="10"/>
  <c r="H23" i="10"/>
  <c r="I23" i="10"/>
  <c r="L27" i="10"/>
  <c r="H27" i="10"/>
  <c r="J27" i="10"/>
  <c r="K31" i="10"/>
  <c r="I31" i="10"/>
  <c r="J31" i="10"/>
  <c r="H31" i="10"/>
  <c r="J35" i="10"/>
  <c r="K35" i="10"/>
  <c r="J43" i="10"/>
  <c r="K43" i="10"/>
  <c r="D31" i="10"/>
  <c r="D185" i="10"/>
  <c r="D40" i="10"/>
  <c r="D28" i="10"/>
  <c r="L30" i="10"/>
  <c r="I30" i="10"/>
  <c r="H30" i="10"/>
  <c r="J30" i="10"/>
  <c r="K30" i="10"/>
  <c r="A30" i="10"/>
  <c r="L38" i="10"/>
  <c r="I38" i="10"/>
  <c r="H38" i="10"/>
  <c r="K38" i="10"/>
  <c r="J38" i="10"/>
  <c r="A38" i="10"/>
  <c r="L46" i="10"/>
  <c r="I46" i="10"/>
  <c r="H46" i="10"/>
  <c r="K46" i="10"/>
  <c r="J46" i="10"/>
  <c r="A46" i="10"/>
  <c r="K180" i="10"/>
  <c r="I180" i="10"/>
  <c r="A180" i="10"/>
  <c r="L180" i="10"/>
  <c r="H180" i="10"/>
  <c r="J180" i="10"/>
  <c r="L168" i="10"/>
  <c r="J168" i="10"/>
  <c r="H168" i="10"/>
  <c r="K168" i="10"/>
  <c r="A168" i="10"/>
  <c r="I168" i="10"/>
  <c r="L167" i="10"/>
  <c r="K167" i="10"/>
  <c r="H167" i="10"/>
  <c r="J167" i="10"/>
  <c r="I167" i="10"/>
  <c r="A167" i="10"/>
  <c r="L51" i="10"/>
  <c r="K51" i="10"/>
  <c r="A51" i="10"/>
  <c r="D51" i="10"/>
  <c r="J51" i="10"/>
  <c r="I51" i="10"/>
  <c r="H51" i="10"/>
  <c r="L13" i="10"/>
  <c r="I13" i="10"/>
  <c r="H13" i="10"/>
  <c r="K13" i="10"/>
  <c r="A13" i="10"/>
  <c r="J13" i="10"/>
  <c r="J17" i="10"/>
  <c r="I17" i="10"/>
  <c r="H17" i="10"/>
  <c r="L17" i="10"/>
  <c r="D17" i="10"/>
  <c r="K17" i="10"/>
  <c r="A17" i="10"/>
  <c r="L21" i="10"/>
  <c r="I21" i="10"/>
  <c r="H21" i="10"/>
  <c r="K21" i="10"/>
  <c r="J21" i="10"/>
  <c r="A21" i="10"/>
  <c r="J33" i="10"/>
  <c r="I33" i="10"/>
  <c r="H33" i="10"/>
  <c r="L33" i="10"/>
  <c r="K33" i="10"/>
  <c r="A33" i="10"/>
  <c r="K37" i="10"/>
  <c r="J37" i="10"/>
  <c r="I37" i="10"/>
  <c r="H37" i="10"/>
  <c r="L37" i="10"/>
  <c r="A37" i="10"/>
  <c r="J41" i="10"/>
  <c r="I41" i="10"/>
  <c r="H41" i="10"/>
  <c r="K41" i="10"/>
  <c r="L41" i="10"/>
  <c r="A41" i="10"/>
  <c r="L45" i="10"/>
  <c r="I45" i="10"/>
  <c r="H45" i="10"/>
  <c r="K45" i="10"/>
  <c r="J45" i="10"/>
  <c r="A45" i="10"/>
  <c r="K50" i="10"/>
  <c r="I50" i="10"/>
  <c r="A50" i="10"/>
  <c r="J50" i="10"/>
  <c r="L50" i="10"/>
  <c r="H50" i="10"/>
  <c r="D45" i="10"/>
  <c r="D38" i="10"/>
  <c r="D37" i="10"/>
  <c r="D33" i="10"/>
  <c r="L24" i="10"/>
  <c r="I24" i="10"/>
  <c r="A24" i="10"/>
  <c r="J24" i="10"/>
  <c r="K24" i="10"/>
  <c r="H24" i="10"/>
  <c r="L32" i="10"/>
  <c r="I32" i="10"/>
  <c r="A32" i="10"/>
  <c r="D32" i="10"/>
  <c r="K32" i="10"/>
  <c r="H32" i="10"/>
  <c r="J32" i="10"/>
  <c r="D6" i="10"/>
  <c r="I6" i="10"/>
  <c r="L6" i="10"/>
  <c r="D181" i="10"/>
  <c r="D173" i="10"/>
  <c r="H35" i="10"/>
  <c r="H173" i="10"/>
  <c r="D49" i="10"/>
  <c r="K27" i="10"/>
  <c r="A31" i="10"/>
  <c r="I43" i="10"/>
  <c r="H49" i="10"/>
  <c r="I157" i="10"/>
  <c r="H165" i="10"/>
  <c r="L181" i="10"/>
  <c r="J189" i="10"/>
  <c r="I27" i="10"/>
  <c r="L35" i="10"/>
  <c r="A43" i="10"/>
  <c r="D42" i="10"/>
  <c r="D160" i="10"/>
  <c r="D188" i="10"/>
  <c r="D27" i="10"/>
  <c r="D13" i="10"/>
  <c r="D177" i="10"/>
  <c r="D23" i="10"/>
  <c r="D41" i="10"/>
  <c r="D168" i="10"/>
  <c r="D34" i="10"/>
  <c r="D46" i="10"/>
  <c r="D24" i="10"/>
  <c r="D48" i="10"/>
  <c r="D36" i="10"/>
  <c r="D50" i="10"/>
  <c r="K4" i="10"/>
  <c r="L4" i="10"/>
  <c r="A4" i="10"/>
  <c r="J4" i="10"/>
  <c r="I4" i="10"/>
  <c r="H4" i="10"/>
  <c r="D4" i="10"/>
  <c r="A6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18" i="10"/>
  <c r="A18" i="10"/>
  <c r="J18" i="10"/>
  <c r="H18" i="10"/>
  <c r="I18" i="10"/>
  <c r="D18" i="10"/>
  <c r="L18" i="10"/>
  <c r="L47" i="10"/>
  <c r="A47" i="10"/>
  <c r="K47" i="10"/>
  <c r="D47" i="10"/>
  <c r="H47" i="10"/>
  <c r="I47" i="10"/>
  <c r="J47" i="10"/>
  <c r="I93" i="10"/>
  <c r="J93" i="10"/>
  <c r="A93" i="10"/>
  <c r="K93" i="10"/>
  <c r="I12" i="10"/>
  <c r="D12" i="10"/>
  <c r="J12" i="10"/>
  <c r="L12" i="10"/>
  <c r="A12" i="10"/>
  <c r="H12" i="10"/>
  <c r="K12" i="10"/>
  <c r="K9" i="10"/>
  <c r="A9" i="10"/>
  <c r="H9" i="10"/>
  <c r="J9" i="10"/>
  <c r="D9" i="10"/>
  <c r="I9" i="10"/>
  <c r="L9" i="10"/>
  <c r="I22" i="10"/>
  <c r="L22" i="10"/>
  <c r="H22" i="10"/>
  <c r="D22" i="10"/>
  <c r="K22" i="10"/>
  <c r="J22" i="10"/>
  <c r="A22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3" i="10"/>
  <c r="H3" i="10"/>
  <c r="D3" i="10"/>
  <c r="J3" i="10"/>
  <c r="L3" i="10"/>
  <c r="A3" i="10"/>
  <c r="I3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5" i="10"/>
  <c r="H15" i="10"/>
  <c r="I15" i="10"/>
  <c r="K15" i="10"/>
  <c r="D15" i="10"/>
  <c r="L15" i="10"/>
  <c r="A15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10" i="10"/>
  <c r="H10" i="10"/>
  <c r="L10" i="10"/>
  <c r="K10" i="10"/>
  <c r="A10" i="10"/>
  <c r="D10" i="10"/>
  <c r="I10" i="10"/>
  <c r="I164" i="10"/>
  <c r="K164" i="10"/>
  <c r="D164" i="10"/>
  <c r="J164" i="10"/>
  <c r="A164" i="10"/>
  <c r="L164" i="10"/>
  <c r="H164" i="10"/>
  <c r="L25" i="10"/>
  <c r="D25" i="10"/>
  <c r="K25" i="10"/>
  <c r="A25" i="10"/>
  <c r="J25" i="10"/>
  <c r="H25" i="10"/>
  <c r="I25" i="10"/>
  <c r="J85" i="10"/>
  <c r="I85" i="10"/>
  <c r="J19" i="10"/>
  <c r="H19" i="10"/>
  <c r="K19" i="10"/>
  <c r="I19" i="10"/>
  <c r="L19" i="10"/>
  <c r="D19" i="10"/>
  <c r="A19" i="10"/>
  <c r="I20" i="10"/>
  <c r="D20" i="10"/>
  <c r="J20" i="10"/>
  <c r="L20" i="10"/>
  <c r="A20" i="10"/>
  <c r="K20" i="10"/>
  <c r="H20" i="10"/>
  <c r="I11" i="10"/>
  <c r="A11" i="10"/>
  <c r="J11" i="10"/>
  <c r="H11" i="10"/>
  <c r="K11" i="10"/>
  <c r="D11" i="10"/>
  <c r="L11" i="10"/>
  <c r="I14" i="10"/>
  <c r="L14" i="10"/>
  <c r="H14" i="10"/>
  <c r="J14" i="10"/>
  <c r="K14" i="10"/>
  <c r="D14" i="10"/>
  <c r="A14" i="10"/>
  <c r="I184" i="10"/>
  <c r="A184" i="10"/>
  <c r="J184" i="10"/>
  <c r="L184" i="10"/>
  <c r="H184" i="10"/>
  <c r="K184" i="10"/>
  <c r="D184" i="10"/>
  <c r="I16" i="10"/>
  <c r="D16" i="10"/>
  <c r="J16" i="10"/>
  <c r="L16" i="10"/>
  <c r="A16" i="10"/>
  <c r="K16" i="10"/>
  <c r="H16" i="10"/>
  <c r="L169" i="10"/>
  <c r="H169" i="10"/>
  <c r="K169" i="10"/>
  <c r="J169" i="10"/>
  <c r="A169" i="10"/>
  <c r="I169" i="10"/>
  <c r="D169" i="10"/>
  <c r="L2" i="10"/>
  <c r="A2" i="10"/>
  <c r="H2" i="10"/>
  <c r="K2" i="10"/>
  <c r="D2" i="10"/>
  <c r="I2" i="10"/>
  <c r="J2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<sst xmlns="http://schemas.openxmlformats.org/spreadsheetml/2006/main" count="3634" uniqueCount="1466">
  <si>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</si>
  <si>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</si>
  <si>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</si>
  <si>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</si>
  <si>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</si>
  <si>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</si>
  <si>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</si>
  <si>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</si>
  <si>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</si>
  <si>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</si>
  <si>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</si>
  <si>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</si>
  <si>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</si>
  <si>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</si>
  <si>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</si>
  <si>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</si>
  <si>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</si>
  <si>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</si>
  <si>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</si>
  <si>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</si>
  <si>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</si>
  <si>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</si>
  <si>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</si>
  <si>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</si>
  <si>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</si>
  <si>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</si>
  <si>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</si>
  <si>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</si>
  <si>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</si>
  <si>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</si>
  <si>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</si>
  <si>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</si>
  <si>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</si>
  <si>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</si>
  <si>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</si>
  <si>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</si>
  <si>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</si>
  <si>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</si>
  <si>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</si>
  <si>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</si>
  <si>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</si>
  <si>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</si>
  <si>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</si>
  <si>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</si>
  <si>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</si>
  <si>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</si>
  <si>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</si>
  <si>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</si>
  <si>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</si>
  <si>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</si>
  <si>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</si>
  <si>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</si>
  <si>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</si>
  <si>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</si>
  <si>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</si>
  <si>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</si>
  <si>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</si>
  <si>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</si>
  <si>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</si>
  <si>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</si>
  <si>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</si>
  <si>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</si>
  <si>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</si>
  <si>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</si>
  <si>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</si>
  <si>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</si>
  <si>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</si>
  <si>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</si>
  <si>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</si>
  <si>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</si>
  <si>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</si>
  <si>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</si>
  <si>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</si>
  <si>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</si>
  <si>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</si>
  <si>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</si>
  <si>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</si>
  <si>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</si>
  <si>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</si>
  <si>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</si>
  <si>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</si>
  <si>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</si>
  <si>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</si>
  <si>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</si>
  <si>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</si>
  <si>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</si>
  <si>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</si>
  <si>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</si>
  <si>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</si>
  <si>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</si>
  <si>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</si>
  <si>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</si>
  <si>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</si>
  <si>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</si>
  <si>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</si>
  <si>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</si>
  <si>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</si>
  <si>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</si>
  <si>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</si>
  <si>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</si>
  <si>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</si>
  <si>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</si>
  <si>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</si>
  <si>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</si>
  <si>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</si>
  <si>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</si>
  <si>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</si>
  <si>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</si>
  <si>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</si>
  <si>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</si>
  <si>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</si>
  <si>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</si>
  <si>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</si>
  <si>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</si>
  <si>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</si>
  <si>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</si>
  <si>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</si>
  <si>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</si>
  <si>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</si>
  <si>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</si>
  <si>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</si>
  <si>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</si>
  <si>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</si>
  <si>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</si>
  <si>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</si>
  <si>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</si>
  <si>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</si>
  <si>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</si>
  <si>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</si>
  <si>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</si>
  <si>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</si>
  <si>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</si>
  <si>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</si>
  <si>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</si>
  <si>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</si>
  <si>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</si>
  <si>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</si>
  <si>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</si>
  <si>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</si>
  <si>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</si>
  <si>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</si>
  <si>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</si>
  <si>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</si>
  <si>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</si>
  <si>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</si>
  <si>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</si>
  <si>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</si>
  <si>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</si>
  <si>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</si>
  <si>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</si>
  <si>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</si>
  <si>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</si>
  <si>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</si>
  <si>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</si>
  <si>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</si>
  <si>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</si>
  <si>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</si>
  <si>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</si>
  <si>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</si>
  <si>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</si>
  <si>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</si>
  <si>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</si>
  <si>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</si>
  <si>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</si>
  <si>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</si>
  <si>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</si>
  <si>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</si>
  <si>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</si>
  <si>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</si>
  <si>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</si>
  <si>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</si>
  <si>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</si>
  <si>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</si>
  <si>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</si>
  <si>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</si>
  <si>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</si>
  <si>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</si>
  <si>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</si>
  <si>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</si>
  <si>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</si>
  <si>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</si>
  <si>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</si>
  <si>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</si>
  <si>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</si>
  <si>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</si>
  <si>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</si>
  <si>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</si>
  <si>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</si>
  <si>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</si>
  <si>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</si>
  <si>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</si>
  <si>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</si>
  <si>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</si>
  <si>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</si>
  <si>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</si>
  <si>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</si>
  <si>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</si>
  <si>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</si>
  <si>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</si>
  <si>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</si>
  <si>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</si>
  <si>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</si>
  <si>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</si>
  <si>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</si>
  <si>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</si>
  <si>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</si>
  <si>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</si>
  <si>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</si>
  <si>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</si>
  <si>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</si>
  <si>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</si>
  <si>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</si>
  <si>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</si>
  <si>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</si>
  <si>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</si>
  <si>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</si>
  <si>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</si>
  <si>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</si>
  <si>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</si>
  <si>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</si>
  <si>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</si>
  <si>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</si>
  <si>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</si>
  <si>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</si>
  <si>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</si>
  <si>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</si>
  <si>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</si>
  <si>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</si>
  <si>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</si>
  <si>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</si>
  <si>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</si>
  <si>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</si>
  <si>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</si>
  <si>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</si>
  <si>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</si>
  <si>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</si>
  <si>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</si>
  <si>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</si>
  <si>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</si>
  <si>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</si>
  <si>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</si>
  <si>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</si>
  <si>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</si>
  <si>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</si>
  <si>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</si>
  <si>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</si>
  <si>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</si>
  <si>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</si>
  <si>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</si>
  <si>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</si>
  <si>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</si>
  <si>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</si>
  <si>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</si>
  <si>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</si>
  <si>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</si>
  <si>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</si>
  <si>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</si>
  <si>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</si>
  <si>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</si>
  <si>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</si>
  <si>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</si>
  <si>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</si>
  <si>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</si>
  <si>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</si>
  <si>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</si>
  <si>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</si>
  <si>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</si>
  <si>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</si>
  <si>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</si>
  <si>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</si>
  <si>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</si>
  <si>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</si>
  <si>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</si>
  <si>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</si>
  <si>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</si>
  <si>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</si>
  <si>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</si>
  <si>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</si>
  <si>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</si>
  <si>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</si>
  <si>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</si>
  <si>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</si>
  <si>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</si>
  <si>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</si>
  <si>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</si>
  <si>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</si>
  <si>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</si>
  <si>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</si>
  <si>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</si>
  <si>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</si>
  <si>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</si>
  <si>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</si>
  <si>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</si>
  <si>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</si>
  <si>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</si>
  <si>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</si>
  <si>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</si>
  <si>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</si>
  <si>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</si>
  <si>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</si>
  <si>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</si>
  <si>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</si>
  <si>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</si>
  <si>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</si>
  <si>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</si>
  <si>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</si>
  <si>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</si>
  <si>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</si>
  <si>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</si>
  <si>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</si>
  <si>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</si>
  <si>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</si>
  <si>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</si>
  <si>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</si>
  <si>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</si>
  <si>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</si>
  <si>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</si>
  <si>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</si>
  <si>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</si>
  <si>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</si>
  <si>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</si>
  <si>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</si>
  <si>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</si>
  <si>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</si>
  <si>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</si>
  <si>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</si>
  <si>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</si>
  <si>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</si>
  <si>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</si>
  <si>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</si>
  <si>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</si>
  <si>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</si>
  <si>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</si>
  <si>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</si>
  <si>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</si>
  <si>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</si>
  <si>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</si>
  <si>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</si>
  <si>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</si>
  <si>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</si>
  <si>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</si>
  <si>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</si>
  <si>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</si>
  <si>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</si>
  <si>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</si>
  <si>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</si>
  <si>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</si>
  <si>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</si>
  <si>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</si>
  <si>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</si>
  <si>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</si>
  <si>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</si>
  <si>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</si>
  <si>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</si>
  <si>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</si>
  <si>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</si>
  <si>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</si>
  <si>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</si>
  <si>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</si>
  <si>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</si>
  <si>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</si>
  <si>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</si>
  <si>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</si>
  <si>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</si>
  <si>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</si>
  <si>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</si>
  <si>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</si>
  <si>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</si>
  <si>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</si>
  <si>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</si>
  <si>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</si>
  <si>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</si>
  <si>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</si>
  <si>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</si>
  <si>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</si>
  <si>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</si>
  <si>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</si>
  <si>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</si>
  <si>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</si>
  <si>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</si>
  <si>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</si>
  <si>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</si>
  <si>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</si>
  <si>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</si>
  <si>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</si>
  <si>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</si>
  <si>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</si>
  <si>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</si>
  <si>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</si>
  <si>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</si>
  <si>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</si>
  <si>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</si>
  <si>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</si>
  <si>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</si>
  <si>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</si>
  <si>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</si>
  <si>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</si>
  <si>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</si>
  <si>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</si>
  <si>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</si>
  <si>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</si>
  <si>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</si>
  <si>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</si>
  <si>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</si>
  <si>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</si>
  <si>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</si>
  <si>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</si>
  <si>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</si>
  <si>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</si>
  <si>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</si>
  <si>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</si>
  <si>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</si>
  <si>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</si>
  <si>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</si>
  <si>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</si>
  <si>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</si>
  <si>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</si>
  <si>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</si>
  <si>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</si>
  <si>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</si>
  <si>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</si>
  <si>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</si>
  <si>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</si>
  <si>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</si>
  <si>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</si>
  <si>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</si>
  <si>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</si>
  <si>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</si>
  <si>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</si>
  <si>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</si>
  <si>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</si>
  <si>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</si>
  <si>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</si>
  <si>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</si>
  <si>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</si>
  <si>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</si>
  <si>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</si>
  <si>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</si>
  <si>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</si>
  <si>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</si>
  <si>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</si>
  <si>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</si>
  <si>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</si>
  <si>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</si>
  <si>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</si>
  <si>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</si>
  <si>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</si>
  <si>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</si>
  <si>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</si>
  <si>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</si>
  <si>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</si>
  <si>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</si>
  <si>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</si>
  <si>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</si>
  <si>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</si>
  <si>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</si>
  <si>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</si>
  <si>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</si>
  <si>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</si>
  <si>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</si>
  <si>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</si>
  <si>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</si>
  <si>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</si>
  <si>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</si>
  <si>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</si>
  <si>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</si>
  <si>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</si>
  <si>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</si>
  <si>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</si>
  <si>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</si>
  <si>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</si>
  <si>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</si>
  <si>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</si>
  <si>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</si>
  <si>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</si>
  <si>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</si>
  <si>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</si>
  <si>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</si>
  <si>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</si>
  <si>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</si>
  <si>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</si>
  <si>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</si>
  <si>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</si>
  <si>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</si>
  <si>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</si>
  <si>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</si>
  <si>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</si>
  <si>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</si>
  <si>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</si>
  <si>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</si>
  <si>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</si>
  <si>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</si>
  <si>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</si>
  <si>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</si>
  <si>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</si>
  <si>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</si>
  <si>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</si>
  <si>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</si>
  <si>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</si>
  <si>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</si>
  <si>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</si>
  <si>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</si>
  <si>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</si>
  <si>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</si>
  <si>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</si>
  <si>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</si>
  <si>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</si>
  <si>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</si>
  <si>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</si>
  <si>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</si>
  <si>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</si>
  <si>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</si>
  <si>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</si>
  <si>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</si>
  <si>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</si>
  <si>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</si>
  <si>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</si>
  <si>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</si>
  <si>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</si>
  <si>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</si>
  <si>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</si>
  <si>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</si>
  <si>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</si>
  <si>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</si>
  <si>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</si>
  <si>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</si>
  <si>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</si>
  <si>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</si>
  <si>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</si>
  <si>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</si>
  <si>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</si>
  <si>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</si>
  <si>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</si>
  <si>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</si>
  <si>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</si>
  <si>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</si>
  <si>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</si>
  <si>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</si>
  <si>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</si>
  <si>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</si>
  <si>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</si>
  <si>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</si>
  <si>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</si>
  <si>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</si>
  <si>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</si>
  <si>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</si>
  <si>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</si>
  <si>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</si>
  <si>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</si>
  <si>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</si>
  <si>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</si>
  <si>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</si>
  <si>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</si>
  <si>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</si>
  <si>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</si>
  <si>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</si>
  <si>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</si>
  <si>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</si>
  <si>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</si>
  <si>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</si>
  <si>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</si>
  <si>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</si>
  <si>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</si>
  <si>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</si>
  <si>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</si>
  <si>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</si>
  <si>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</si>
  <si>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</si>
  <si>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</si>
  <si>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</si>
  <si>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</si>
  <si>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</si>
  <si>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</si>
  <si>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</si>
  <si>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</si>
  <si>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</si>
  <si>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</si>
  <si>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</si>
  <si>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</si>
  <si>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</si>
  <si>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</si>
  <si>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</si>
  <si>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</si>
  <si>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</si>
  <si>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</si>
  <si>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</si>
  <si>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</si>
  <si>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</si>
  <si>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</si>
  <si>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</si>
  <si>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</si>
  <si>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</si>
  <si>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</si>
  <si>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</si>
  <si>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</si>
  <si>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</si>
  <si>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</si>
  <si>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</si>
  <si>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</si>
  <si>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</si>
  <si>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</si>
  <si>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</si>
  <si>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</si>
  <si>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</si>
  <si>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</si>
  <si>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</si>
  <si>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</si>
  <si>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</si>
  <si>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</si>
  <si>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</si>
  <si>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</si>
  <si>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</si>
  <si>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</si>
  <si>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</si>
  <si>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</si>
  <si>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</si>
  <si>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</si>
  <si>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</si>
  <si>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</si>
  <si>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</si>
  <si>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</si>
  <si>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</si>
  <si>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</si>
  <si>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</si>
  <si>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</si>
  <si>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</si>
  <si>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</si>
  <si>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</si>
  <si>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</si>
  <si>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</si>
  <si>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</si>
  <si>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</si>
  <si>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</si>
  <si>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</si>
  <si>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</si>
  <si>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</si>
  <si>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</si>
  <si>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</si>
  <si>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</si>
  <si>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</si>
  <si>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</si>
  <si>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</si>
  <si>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</si>
  <si>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</si>
  <si>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</si>
  <si>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</si>
  <si>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</si>
  <si>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</si>
  <si>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</si>
  <si>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</si>
  <si>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</si>
  <si>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</si>
  <si>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</si>
  <si>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</si>
  <si>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</si>
  <si>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</si>
  <si>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</si>
  <si>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</si>
  <si>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</si>
  <si>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</si>
  <si>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</si>
  <si>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</si>
  <si>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</si>
  <si>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</si>
  <si>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</si>
  <si>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</si>
  <si>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</si>
  <si>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</si>
  <si>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</si>
  <si>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</si>
  <si>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</si>
  <si>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</si>
  <si>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</si>
  <si>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</si>
  <si>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</si>
  <si>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</si>
  <si>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</si>
  <si>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</si>
  <si>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</si>
  <si>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</si>
  <si>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</si>
  <si>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</si>
  <si>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</si>
  <si>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</si>
  <si>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</si>
  <si>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</si>
  <si>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</si>
  <si>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</si>
  <si>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</si>
  <si>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</si>
  <si>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</si>
  <si>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</si>
  <si>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</si>
  <si>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</si>
  <si>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</si>
  <si>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</si>
  <si>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</si>
  <si>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</si>
  <si>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</si>
  <si>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</si>
  <si>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</si>
  <si>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</si>
  <si>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</si>
  <si>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</si>
  <si>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</si>
  <si>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</si>
  <si>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</si>
  <si>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</si>
  <si>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</si>
  <si>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</si>
  <si>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</si>
  <si>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</si>
  <si>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</si>
  <si>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</si>
  <si>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</si>
  <si>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</si>
  <si>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</si>
  <si>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</si>
  <si>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</si>
  <si>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</si>
  <si>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</si>
  <si>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</si>
  <si>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</si>
  <si>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</si>
  <si>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</si>
  <si>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</si>
  <si>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</si>
  <si>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</si>
  <si>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</si>
  <si>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</si>
  <si>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</si>
  <si>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</si>
  <si>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</si>
  <si>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</si>
  <si>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</si>
  <si>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</si>
  <si>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</si>
  <si>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</si>
  <si>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</si>
  <si>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</si>
  <si>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</si>
  <si>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</si>
  <si>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</si>
  <si>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</si>
  <si>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</si>
  <si>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</si>
  <si>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</si>
  <si>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</si>
  <si>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</si>
  <si>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</si>
  <si>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</si>
  <si>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</si>
  <si>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</si>
  <si>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</si>
  <si>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</si>
  <si>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</si>
  <si>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</si>
  <si>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</si>
  <si>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</si>
  <si>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</si>
  <si>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</si>
  <si>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</si>
  <si>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</si>
  <si>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</si>
  <si>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</si>
  <si>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</si>
  <si>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</si>
  <si>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</si>
  <si>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</si>
  <si>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</si>
  <si>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</si>
  <si>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</si>
  <si>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</si>
  <si>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</si>
  <si>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</si>
  <si>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</si>
  <si>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</si>
  <si>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</si>
  <si>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</si>
  <si>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</si>
  <si>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</si>
  <si>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</si>
  <si>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</si>
  <si>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</si>
  <si>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</si>
  <si>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</si>
  <si>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</si>
  <si>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</si>
  <si>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</si>
  <si>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</si>
  <si>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</si>
  <si>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</si>
  <si>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</si>
  <si>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</si>
  <si>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</si>
  <si>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</si>
  <si>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</si>
  <si>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</si>
  <si>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</si>
  <si>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</si>
  <si>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</si>
  <si>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</si>
  <si>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</si>
  <si>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</si>
  <si>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</si>
  <si>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</si>
  <si>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</si>
  <si>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</si>
  <si>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</si>
  <si>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</si>
  <si>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</si>
  <si>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</si>
  <si>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</si>
  <si>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</si>
  <si>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</si>
  <si>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</si>
  <si>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</si>
  <si>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</si>
  <si>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</si>
  <si>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</si>
  <si>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</si>
  <si>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</si>
  <si>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</si>
  <si>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</si>
  <si>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</si>
  <si>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</si>
  <si>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</si>
  <si>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</si>
  <si>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</si>
  <si>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</si>
  <si>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</si>
  <si>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</si>
  <si>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</si>
  <si>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</si>
  <si>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</si>
  <si>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</si>
  <si>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</si>
  <si>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</si>
  <si>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</si>
  <si>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</si>
  <si>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</si>
  <si>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</si>
  <si>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</si>
  <si>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</si>
  <si>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</si>
  <si>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</si>
  <si>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</si>
  <si>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</si>
  <si>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</si>
  <si>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</si>
  <si>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</si>
  <si>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</si>
  <si>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</si>
  <si>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</si>
  <si>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</si>
  <si>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</si>
  <si>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</si>
  <si>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</si>
  <si>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</si>
  <si>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</si>
  <si>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</si>
  <si>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</si>
  <si>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</si>
  <si>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</si>
  <si>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</si>
  <si>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</si>
  <si>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</si>
  <si>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</si>
  <si>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</si>
  <si>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</si>
  <si>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</si>
  <si>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</si>
  <si>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</si>
  <si>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</si>
  <si>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</si>
  <si>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</si>
  <si>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</si>
  <si>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</si>
  <si>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</si>
  <si>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</si>
  <si>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</si>
  <si>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</si>
  <si>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</si>
  <si>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</si>
  <si>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</si>
  <si>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</si>
  <si>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</si>
  <si>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</si>
  <si>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</si>
  <si>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</si>
  <si>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</si>
  <si>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</si>
  <si>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</si>
  <si>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</si>
  <si>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</si>
  <si>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</si>
  <si>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</si>
  <si>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</si>
  <si>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</si>
  <si>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</si>
  <si>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</si>
  <si>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</si>
  <si>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</si>
  <si>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</si>
  <si>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</si>
  <si>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</si>
  <si>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</si>
  <si>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</si>
  <si>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</si>
  <si>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</si>
  <si>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</si>
  <si>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</si>
  <si>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</si>
  <si>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</si>
  <si>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</si>
  <si>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</si>
  <si>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</si>
  <si>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</si>
  <si>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</si>
  <si>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</si>
  <si>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</si>
  <si>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</si>
  <si>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</si>
  <si>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</si>
  <si>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</si>
  <si>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</si>
  <si>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</si>
  <si>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</si>
  <si>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</si>
  <si>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</si>
  <si>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</si>
  <si>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</si>
  <si>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</si>
  <si>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</si>
  <si>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</si>
  <si>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</si>
  <si>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</si>
  <si>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</si>
  <si>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</si>
  <si>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</si>
  <si>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</si>
  <si>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</si>
  <si>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</si>
  <si>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</si>
  <si>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</si>
  <si>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</si>
  <si>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</si>
  <si>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</si>
  <si>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</si>
  <si>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</si>
  <si>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</si>
  <si>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</si>
  <si>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</si>
  <si>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</si>
  <si>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</si>
  <si>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</si>
  <si>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</si>
  <si>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</si>
  <si>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</si>
  <si>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</si>
  <si>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</si>
  <si>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</si>
  <si>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</si>
  <si>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</si>
  <si>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</si>
  <si>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</si>
  <si>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</si>
  <si>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</si>
  <si>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</si>
  <si>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</si>
  <si>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</si>
  <si>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</si>
  <si>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</si>
  <si>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</si>
  <si>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</si>
  <si>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</si>
  <si>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</si>
  <si>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</si>
  <si>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</si>
  <si>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</si>
  <si>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</si>
  <si>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</si>
  <si>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</si>
  <si>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</si>
  <si>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</si>
  <si>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</si>
  <si>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</si>
  <si>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</si>
  <si>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</si>
  <si>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</si>
  <si>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</si>
  <si>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</si>
  <si>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</si>
  <si>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</si>
  <si>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</si>
  <si>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</si>
  <si>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</si>
  <si>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</si>
  <si>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</si>
  <si>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</si>
  <si>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</si>
  <si>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</si>
  <si>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</si>
  <si>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</si>
  <si>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</si>
  <si>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</si>
  <si>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</si>
  <si>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</si>
  <si>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</si>
  <si>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</si>
  <si>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</si>
  <si>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</si>
  <si>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</si>
  <si>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</si>
  <si>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</si>
  <si>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</si>
  <si>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</si>
  <si>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</si>
  <si>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</si>
  <si>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</si>
  <si>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</si>
  <si>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</si>
  <si>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</si>
  <si>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</si>
  <si>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</si>
  <si>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</si>
  <si>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</si>
  <si>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</si>
  <si>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</si>
  <si>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</si>
  <si>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</si>
  <si>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</si>
  <si>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</si>
  <si>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</si>
  <si>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</si>
  <si>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</si>
  <si>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</si>
  <si>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</si>
  <si>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</si>
  <si>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</si>
  <si>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</si>
  <si>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</si>
  <si>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</si>
  <si>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</si>
  <si>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</si>
  <si>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</si>
  <si>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</si>
  <si>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</si>
  <si>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</si>
  <si>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</si>
  <si>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</si>
  <si>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</si>
  <si>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</si>
  <si>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</si>
  <si>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</si>
  <si>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</si>
  <si>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</si>
  <si>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</si>
  <si>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</si>
  <si>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</si>
  <si>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</si>
  <si>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</si>
  <si>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</si>
  <si>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</si>
  <si>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</si>
  <si>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</si>
  <si>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</si>
  <si>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</si>
  <si>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</si>
  <si>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</si>
  <si>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</si>
  <si>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</si>
  <si>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</si>
  <si>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</si>
  <si>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</si>
  <si>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</si>
  <si>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</si>
  <si>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</si>
  <si>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</si>
  <si>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</si>
  <si>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</si>
  <si>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</si>
  <si>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</si>
  <si>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</si>
  <si>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</si>
  <si>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</si>
  <si>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</si>
  <si>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</si>
  <si>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</si>
  <si>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</si>
  <si>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</si>
  <si>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</si>
  <si>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</si>
  <si>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</si>
  <si>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</si>
  <si>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</si>
  <si>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</si>
  <si>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</si>
  <si>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</si>
  <si>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</si>
  <si>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</si>
  <si>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</si>
  <si>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</si>
  <si>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</si>
  <si>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</si>
  <si>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</si>
  <si>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</si>
  <si>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</si>
  <si>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</si>
  <si>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</si>
  <si>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</si>
  <si>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</si>
  <si>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</si>
  <si>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</si>
  <si>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</si>
  <si>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</si>
  <si>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</si>
  <si>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</si>
  <si>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</si>
  <si>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</si>
  <si>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</si>
  <si>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</si>
  <si>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</si>
  <si>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</si>
  <si>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</si>
  <si>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</si>
  <si>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</si>
  <si>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</si>
  <si>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</si>
  <si>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</si>
  <si>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</si>
  <si>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</si>
  <si>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</si>
  <si>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</si>
  <si>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</si>
  <si>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</si>
  <si>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</si>
  <si>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</si>
  <si>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</si>
  <si>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</si>
  <si>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</si>
  <si>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</si>
  <si>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</si>
  <si>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</si>
  <si>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</si>
  <si>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</si>
  <si>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</si>
  <si>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</si>
  <si>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</si>
  <si>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</si>
  <si>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</si>
  <si>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</si>
  <si>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</si>
  <si>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</si>
  <si>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</si>
  <si>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</si>
  <si>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</si>
  <si>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</si>
  <si>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</si>
  <si>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</si>
  <si>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</si>
  <si>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</si>
  <si>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</si>
  <si>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</si>
  <si>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</si>
  <si>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</si>
  <si>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</si>
  <si>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</si>
  <si>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</si>
  <si>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</si>
  <si>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</si>
  <si>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</si>
  <si>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</si>
  <si>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</si>
  <si>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</si>
  <si>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</si>
  <si>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</si>
  <si>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</si>
  <si>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</si>
  <si>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</si>
  <si>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</si>
  <si>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</si>
  <si>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</si>
  <si>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</si>
  <si>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</si>
  <si>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</si>
  <si>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</si>
  <si>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</si>
  <si>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</si>
  <si>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</si>
  <si>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</si>
  <si>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</si>
  <si>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</si>
  <si>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</si>
  <si>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</si>
  <si>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</si>
  <si>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</si>
  <si>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</si>
  <si>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</si>
  <si>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</si>
  <si>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</si>
  <si>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</si>
  <si>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</si>
  <si>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</si>
  <si>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</si>
  <si>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</si>
  <si>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</si>
  <si>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</si>
  <si>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</si>
  <si>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</si>
  <si>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</si>
  <si>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</si>
  <si>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</si>
  <si>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</si>
  <si>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</si>
  <si>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</si>
  <si>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</si>
  <si>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</si>
  <si>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</si>
  <si>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</si>
  <si>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</si>
  <si>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</si>
  <si>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</si>
  <si>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</si>
  <si>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</si>
  <si>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</si>
  <si>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</si>
  <si>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</si>
  <si>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</si>
  <si>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</si>
  <si>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</si>
  <si>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</si>
  <si>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</si>
  <si>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</si>
  <si>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</si>
  <si>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</si>
  <si>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</si>
  <si>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</si>
  <si>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</si>
  <si>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</si>
  <si>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</si>
  <si>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</si>
  <si>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</si>
  <si>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</si>
  <si>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</si>
  <si>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</si>
  <si>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</si>
  <si>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</si>
  <si>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</si>
  <si>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</si>
  <si>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</si>
  <si>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</si>
  <si>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</si>
  <si>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</si>
  <si>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</si>
  <si>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</si>
  <si>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</si>
  <si>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</si>
  <si>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</si>
  <si>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</si>
  <si>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</si>
  <si>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</si>
  <si>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</si>
  <si>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</si>
  <si>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</si>
  <si>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</si>
  <si>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</si>
  <si>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</si>
  <si>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</si>
  <si>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</si>
  <si>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</si>
  <si>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</si>
  <si>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</si>
  <si>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</si>
  <si>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</si>
  <si>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</si>
  <si>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</si>
  <si>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</si>
  <si>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</si>
  <si>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</si>
  <si>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</si>
  <si>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</si>
  <si>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</si>
  <si>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</si>
  <si>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</si>
  <si>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</si>
  <si>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</si>
  <si>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</si>
  <si>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</si>
  <si>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</si>
  <si>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</si>
  <si>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</si>
  <si>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</si>
  <si>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</si>
  <si>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</si>
  <si>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</si>
  <si>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</si>
  <si>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</si>
  <si>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</si>
  <si>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</si>
  <si>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</si>
  <si>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</si>
  <si>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</si>
  <si>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</si>
  <si>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</si>
  <si>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</si>
  <si>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</si>
  <si>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</si>
  <si>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</si>
  <si>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</si>
  <si>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</si>
  <si>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</si>
  <si>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</si>
  <si>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</si>
  <si>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</si>
  <si>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</si>
  <si>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</si>
  <si>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</si>
  <si>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</si>
  <si>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</si>
  <si>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</si>
  <si>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</si>
  <si>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</si>
  <si>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</si>
  <si>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</si>
  <si>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</si>
  <si>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</si>
  <si>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</si>
  <si>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</si>
  <si>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</si>
  <si>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</si>
  <si>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</si>
  <si>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</si>
  <si>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</si>
  <si>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</si>
  <si>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</si>
  <si>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</si>
  <si>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</si>
  <si>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</si>
  <si>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</si>
  <si>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</si>
  <si>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</si>
  <si>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</si>
  <si>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</si>
  <si>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</si>
  <si>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</si>
  <si>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</si>
  <si>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</si>
  <si>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</si>
  <si>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</si>
  <si>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</si>
  <si>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</si>
  <si>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</si>
  <si>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</si>
  <si>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</si>
  <si>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</si>
  <si>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</si>
  <si>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</si>
  <si>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</si>
  <si>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</si>
  <si>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</si>
  <si>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</si>
  <si>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</si>
  <si>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</si>
  <si>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</si>
  <si>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</si>
  <si>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</si>
  <si>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</si>
  <si>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</si>
  <si>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</si>
  <si>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</si>
  <si>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</si>
  <si>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</si>
  <si>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</si>
  <si>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</si>
  <si>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</si>
  <si>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</si>
  <si>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</si>
  <si>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</si>
  <si>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</si>
  <si>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</si>
  <si>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</si>
  <si>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</si>
  <si>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</si>
  <si>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</si>
  <si>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</si>
  <si>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</si>
  <si>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</si>
  <si>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</si>
  <si>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</si>
  <si>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</si>
  <si>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</si>
  <si>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</si>
  <si>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</si>
  <si>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</si>
  <si>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</si>
  <si>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</si>
  <si>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</si>
  <si>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</si>
  <si>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</si>
  <si>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</si>
  <si>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</si>
  <si>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</si>
  <si>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</si>
  <si>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</si>
  <si>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</si>
  <si>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</si>
  <si>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</si>
  <si>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</si>
  <si>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</si>
  <si>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</si>
  <si>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</si>
  <si>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</si>
  <si>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</si>
  <si>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</si>
  <si>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</si>
  <si>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</si>
  <si>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</si>
  <si>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</si>
  <si>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</si>
  <si>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</si>
  <si>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</si>
  <si>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</si>
  <si>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</si>
  <si>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</si>
  <si>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</si>
  <si>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</si>
  <si>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</si>
  <si>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</si>
  <si>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</si>
  <si>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</si>
  <si>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</si>
  <si>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</si>
  <si>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</si>
  <si>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</si>
  <si>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</si>
  <si>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</si>
  <si>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</si>
  <si>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</si>
  <si>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</si>
  <si>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</si>
  <si>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1/1</t>
  </si>
  <si>
    <t>9/4</t>
  </si>
  <si>
    <t>14/1</t>
  </si>
  <si>
    <t>69KV / 13,59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</si>
  <si>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</si>
  <si>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</si>
  <si>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</si>
  <si>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</si>
  <si>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</si>
  <si>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</si>
  <si>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</si>
  <si>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</si>
  <si>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</si>
  <si>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</si>
  <si>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</si>
  <si>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</si>
  <si>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</si>
  <si>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</si>
  <si>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ELH-1/1</t>
  </si>
  <si>
    <t>REG.3</t>
  </si>
  <si>
    <t>REG.4</t>
  </si>
  <si>
    <t>YAR-9/4</t>
  </si>
  <si>
    <t>REG.5</t>
  </si>
  <si>
    <t>REG.6</t>
  </si>
  <si>
    <t>YAR-14/1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</si>
</sst>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000&quot;/&quot;000"/>
    <numFmt numFmtId="165" formatCode="[$-F400]h:mm:ss\ AM/PM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5" fillId="0" borderId="0" applyNumberFormat="0" applyFill="0" applyBorder="0" applyAlignment="0" applyProtection="0"/>
  </cellStyleXfs>
  <cellXfs count="257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14" fillId="2" borderId="0" xfId="0" quotePrefix="1" applyFont="1" applyFill="1" applyAlignment="1">
      <alignment horizontal="center" vertical="center"/>
    </xf>
    <xf numFmtId="0" fontId="8" fillId="0" borderId="15" xfId="6" applyFont="1" applyBorder="1" applyAlignment="1">
      <alignment horizontal="center"/>
    </xf>
    <xf numFmtId="0" fontId="8" fillId="0" borderId="16" xfId="6" applyFont="1" applyBorder="1" applyAlignment="1">
      <alignment horizontal="left" vertical="center"/>
    </xf>
    <xf numFmtId="0" fontId="8" fillId="0" borderId="16" xfId="6" applyFont="1" applyBorder="1"/>
    <xf numFmtId="0" fontId="8" fillId="0" borderId="16" xfId="6" applyFont="1" applyBorder="1" applyAlignment="1">
      <alignment horizontal="center" vertical="center"/>
    </xf>
    <xf numFmtId="0" fontId="24" fillId="0" borderId="29" xfId="5" applyFont="1" applyFill="1" applyBorder="1" applyAlignment="1">
      <alignment horizontal="center" vertical="center"/>
    </xf>
    <xf numFmtId="0" fontId="8" fillId="0" borderId="30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31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30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6" fillId="0" borderId="50" xfId="6" applyFont="1" applyBorder="1" applyAlignment="1">
      <alignment horizontal="center"/>
    </xf>
    <xf numFmtId="0" fontId="8" fillId="0" borderId="25" xfId="6" applyFont="1" applyBorder="1" applyAlignment="1">
      <alignment horizontal="left" vertical="center"/>
    </xf>
    <xf numFmtId="0" fontId="8" fillId="0" borderId="25" xfId="6" applyFont="1" applyFill="1" applyBorder="1" applyAlignment="1">
      <alignment horizontal="left" vertical="center"/>
    </xf>
    <xf numFmtId="0" fontId="6" fillId="0" borderId="25" xfId="6" applyFont="1" applyFill="1" applyBorder="1" applyAlignment="1">
      <alignment horizontal="left" vertical="center"/>
    </xf>
    <xf numFmtId="0" fontId="8" fillId="0" borderId="25" xfId="6" applyFont="1" applyBorder="1"/>
    <xf numFmtId="0" fontId="8" fillId="0" borderId="25" xfId="6" applyFont="1" applyBorder="1" applyAlignment="1">
      <alignment horizontal="center" vertical="center"/>
    </xf>
    <xf numFmtId="0" fontId="24" fillId="0" borderId="28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30" xfId="6" applyFont="1" applyBorder="1" applyAlignment="1">
      <alignment horizontal="center"/>
    </xf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31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6" fillId="0" borderId="9" xfId="0" applyFont="1" applyFill="1" applyBorder="1" applyAlignment="1">
      <alignment horizontal="center" vertical="center"/>
    </xf>
    <xf numFmtId="14" fontId="26" fillId="0" borderId="52" xfId="0" applyNumberFormat="1" applyFont="1" applyFill="1" applyBorder="1" applyAlignment="1">
      <alignment horizontal="center" vertical="center"/>
    </xf>
    <xf numFmtId="20" fontId="26" fillId="0" borderId="52" xfId="0" applyNumberFormat="1" applyFont="1" applyFill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 indent="1"/>
    </xf>
    <xf numFmtId="0" fontId="26" fillId="0" borderId="8" xfId="0" applyFont="1" applyFill="1" applyBorder="1" applyAlignment="1">
      <alignment vertical="center"/>
    </xf>
    <xf numFmtId="0" fontId="26" fillId="0" borderId="10" xfId="0" applyFont="1" applyFill="1" applyBorder="1" applyAlignment="1">
      <alignment horizontal="left" vertical="center" indent="1"/>
    </xf>
    <xf numFmtId="0" fontId="26" fillId="0" borderId="52" xfId="0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4" fontId="26" fillId="0" borderId="54" xfId="0" applyNumberFormat="1" applyFont="1" applyFill="1" applyBorder="1" applyAlignment="1">
      <alignment horizontal="center" vertical="center"/>
    </xf>
    <xf numFmtId="0" fontId="26" fillId="0" borderId="53" xfId="0" applyFont="1" applyFill="1" applyBorder="1" applyAlignment="1">
      <alignment horizontal="center" vertical="center"/>
    </xf>
    <xf numFmtId="49" fontId="26" fillId="0" borderId="12" xfId="0" applyNumberFormat="1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54" xfId="0" applyFont="1" applyFill="1" applyBorder="1" applyAlignment="1">
      <alignment horizontal="left" vertical="center"/>
    </xf>
    <xf numFmtId="0" fontId="26" fillId="0" borderId="48" xfId="0" applyFont="1" applyFill="1" applyBorder="1" applyAlignment="1">
      <alignment horizontal="center" vertical="center"/>
    </xf>
    <xf numFmtId="0" fontId="26" fillId="0" borderId="49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left" vertical="center" indent="1"/>
    </xf>
    <xf numFmtId="0" fontId="26" fillId="0" borderId="12" xfId="0" applyFont="1" applyFill="1" applyBorder="1" applyAlignment="1">
      <alignment vertical="center"/>
    </xf>
    <xf numFmtId="0" fontId="26" fillId="0" borderId="51" xfId="0" applyFont="1" applyFill="1" applyBorder="1" applyAlignment="1">
      <alignment horizontal="left" vertical="center" indent="1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 wrapText="1"/>
    </xf>
    <xf numFmtId="3" fontId="26" fillId="0" borderId="24" xfId="0" applyNumberFormat="1" applyFont="1" applyFill="1" applyBorder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/>
    </xf>
    <xf numFmtId="0" fontId="22" fillId="6" borderId="35" xfId="5" applyFont="1" applyFill="1" applyBorder="1" applyAlignment="1">
      <alignment horizontal="center" vertical="center"/>
    </xf>
    <xf numFmtId="0" fontId="22" fillId="6" borderId="36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7" xfId="5" applyFont="1" applyFill="1" applyBorder="1" applyAlignment="1">
      <alignment horizontal="center" vertical="center" wrapText="1"/>
    </xf>
    <xf numFmtId="0" fontId="22" fillId="6" borderId="38" xfId="2" applyFont="1" applyFill="1" applyBorder="1" applyAlignment="1">
      <alignment horizontal="center" vertical="center" wrapText="1"/>
    </xf>
    <xf numFmtId="0" fontId="22" fillId="6" borderId="39" xfId="2" applyFont="1" applyFill="1" applyBorder="1" applyAlignment="1">
      <alignment horizontal="left" vertical="center" wrapText="1"/>
    </xf>
    <xf numFmtId="0" fontId="22" fillId="6" borderId="39" xfId="2" applyFont="1" applyFill="1" applyBorder="1" applyAlignment="1">
      <alignment horizontal="left" vertical="center"/>
    </xf>
    <xf numFmtId="0" fontId="22" fillId="6" borderId="39" xfId="2" applyFont="1" applyFill="1" applyBorder="1" applyAlignment="1">
      <alignment horizontal="left" vertical="center" indent="1"/>
    </xf>
    <xf numFmtId="0" fontId="22" fillId="6" borderId="39" xfId="2" applyFont="1" applyFill="1" applyBorder="1" applyAlignment="1">
      <alignment horizontal="center" vertical="center"/>
    </xf>
    <xf numFmtId="0" fontId="23" fillId="6" borderId="40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57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9" fontId="42" fillId="5" borderId="68" xfId="0" applyNumberFormat="1" applyFont="1" applyFill="1" applyBorder="1" applyAlignment="1">
      <alignment horizontal="left" vertical="center" indent="1"/>
    </xf>
    <xf numFmtId="0" fontId="42" fillId="5" borderId="69" xfId="0" applyFont="1" applyFill="1" applyBorder="1" applyAlignment="1">
      <alignment horizontal="left" vertical="center" indent="1"/>
    </xf>
    <xf numFmtId="9" fontId="42" fillId="5" borderId="71" xfId="0" applyNumberFormat="1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41" fillId="7" borderId="75" xfId="0" applyFont="1" applyFill="1" applyBorder="1" applyAlignment="1">
      <alignment horizontal="left" vertical="center" indent="1"/>
    </xf>
    <xf numFmtId="0" fontId="41" fillId="7" borderId="78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31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7" fillId="0" borderId="1" xfId="0" applyNumberFormat="1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>
      <alignment horizontal="center" vertical="center"/>
    </xf>
    <xf numFmtId="0" fontId="42" fillId="5" borderId="70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7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/>
    </xf>
    <xf numFmtId="0" fontId="21" fillId="6" borderId="32" xfId="2" applyFont="1" applyFill="1" applyBorder="1" applyAlignment="1">
      <alignment horizontal="center" vertical="center" wrapText="1"/>
    </xf>
    <xf numFmtId="0" fontId="21" fillId="6" borderId="33" xfId="2" applyFont="1" applyFill="1" applyBorder="1" applyAlignment="1">
      <alignment horizontal="center" vertical="center" wrapText="1"/>
    </xf>
    <xf numFmtId="0" fontId="21" fillId="6" borderId="34" xfId="2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20" fontId="36" fillId="7" borderId="16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16" xfId="0" applyNumberFormat="1" applyFont="1" applyFill="1" applyBorder="1" applyAlignment="1">
      <alignment horizontal="center" vertical="center" wrapText="1"/>
    </xf>
    <xf numFmtId="164" fontId="36" fillId="7" borderId="29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31" xfId="0" applyNumberFormat="1" applyFont="1" applyFill="1" applyBorder="1" applyAlignment="1">
      <alignment horizontal="center" vertical="center" wrapText="1"/>
    </xf>
    <xf numFmtId="164" fontId="36" fillId="7" borderId="17" xfId="0" applyNumberFormat="1" applyFont="1" applyFill="1" applyBorder="1" applyAlignment="1">
      <alignment horizontal="center" vertical="center" wrapText="1"/>
    </xf>
    <xf numFmtId="164" fontId="36" fillId="7" borderId="85" xfId="0" applyNumberFormat="1" applyFont="1" applyFill="1" applyBorder="1" applyAlignment="1">
      <alignment horizontal="center" vertical="center" wrapText="1"/>
    </xf>
    <xf numFmtId="0" fontId="38" fillId="7" borderId="17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4" fillId="6" borderId="31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 wrapText="1"/>
    </xf>
    <xf numFmtId="0" fontId="26" fillId="0" borderId="55" xfId="0" applyFont="1" applyFill="1" applyBorder="1" applyAlignment="1">
      <alignment horizontal="center" vertical="center" wrapText="1"/>
    </xf>
    <xf numFmtId="0" fontId="38" fillId="7" borderId="22" xfId="0" applyFont="1" applyFill="1" applyBorder="1" applyAlignment="1">
      <alignment horizontal="center" vertical="center"/>
    </xf>
    <xf numFmtId="0" fontId="38" fillId="7" borderId="28" xfId="0" applyFont="1" applyFill="1" applyBorder="1" applyAlignment="1">
      <alignment horizontal="center" vertical="center"/>
    </xf>
    <xf numFmtId="0" fontId="26" fillId="0" borderId="81" xfId="0" applyFont="1" applyFill="1" applyBorder="1" applyAlignment="1">
      <alignment horizontal="center" vertical="center" wrapText="1"/>
    </xf>
    <xf numFmtId="0" fontId="26" fillId="0" borderId="82" xfId="0" applyFont="1" applyFill="1" applyBorder="1" applyAlignment="1">
      <alignment horizontal="center" vertical="center" wrapText="1"/>
    </xf>
    <xf numFmtId="0" fontId="34" fillId="6" borderId="83" xfId="0" applyFont="1" applyFill="1" applyBorder="1" applyAlignment="1">
      <alignment horizontal="center" vertical="center"/>
    </xf>
    <xf numFmtId="0" fontId="34" fillId="6" borderId="84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16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8" xfId="0" applyNumberFormat="1" applyFont="1" applyFill="1" applyBorder="1" applyAlignment="1">
      <alignment horizontal="center" vertical="center" wrapText="1"/>
    </xf>
    <xf numFmtId="20" fontId="36" fillId="7" borderId="19" xfId="0" applyNumberFormat="1" applyFont="1" applyFill="1" applyBorder="1" applyAlignment="1">
      <alignment horizontal="center" vertical="center" wrapText="1"/>
    </xf>
    <xf numFmtId="20" fontId="36" fillId="7" borderId="45" xfId="0" applyNumberFormat="1" applyFont="1" applyFill="1" applyBorder="1" applyAlignment="1">
      <alignment horizontal="center" vertical="center" wrapText="1"/>
    </xf>
    <xf numFmtId="20" fontId="36" fillId="7" borderId="47" xfId="0" applyNumberFormat="1" applyFont="1" applyFill="1" applyBorder="1" applyAlignment="1">
      <alignment horizontal="center" vertical="center" wrapText="1"/>
    </xf>
    <xf numFmtId="20" fontId="37" fillId="0" borderId="83" xfId="0" applyNumberFormat="1" applyFont="1" applyFill="1" applyBorder="1" applyAlignment="1">
      <alignment horizontal="center" vertical="center" wrapText="1"/>
    </xf>
    <xf numFmtId="20" fontId="37" fillId="0" borderId="84" xfId="0" applyNumberFormat="1" applyFont="1" applyFill="1" applyBorder="1" applyAlignment="1">
      <alignment horizontal="center" vertical="center" wrapText="1"/>
    </xf>
    <xf numFmtId="0" fontId="37" fillId="0" borderId="83" xfId="0" applyNumberFormat="1" applyFont="1" applyFill="1" applyBorder="1" applyAlignment="1">
      <alignment horizontal="center" vertical="center" wrapText="1"/>
    </xf>
    <xf numFmtId="0" fontId="37" fillId="0" borderId="84" xfId="0" applyNumberFormat="1" applyFont="1" applyFill="1" applyBorder="1" applyAlignment="1">
      <alignment horizontal="center" vertical="center" wrapText="1"/>
    </xf>
    <xf numFmtId="0" fontId="26" fillId="0" borderId="54" xfId="0" applyFont="1" applyFill="1" applyBorder="1" applyAlignment="1">
      <alignment horizontal="left" vertical="center"/>
    </xf>
    <xf numFmtId="0" fontId="26" fillId="0" borderId="8" xfId="0" applyFont="1" applyFill="1" applyBorder="1" applyAlignment="1">
      <alignment horizontal="left" vertical="center"/>
    </xf>
    <xf numFmtId="0" fontId="38" fillId="7" borderId="15" xfId="0" applyNumberFormat="1" applyFont="1" applyFill="1" applyBorder="1" applyAlignment="1">
      <alignment horizontal="center" vertical="center" wrapText="1"/>
    </xf>
    <xf numFmtId="0" fontId="38" fillId="7" borderId="23" xfId="0" applyNumberFormat="1" applyFont="1" applyFill="1" applyBorder="1" applyAlignment="1">
      <alignment horizontal="center" vertical="center" wrapText="1"/>
    </xf>
    <xf numFmtId="164" fontId="38" fillId="7" borderId="16" xfId="0" applyNumberFormat="1" applyFont="1" applyFill="1" applyBorder="1" applyAlignment="1">
      <alignment horizontal="center" vertical="center" wrapText="1"/>
    </xf>
    <xf numFmtId="164" fontId="38" fillId="7" borderId="24" xfId="0" applyNumberFormat="1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38" fillId="7" borderId="17" xfId="0" applyNumberFormat="1" applyFont="1" applyFill="1" applyBorder="1" applyAlignment="1">
      <alignment horizontal="center" vertical="center" wrapText="1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0" xfId="0" applyNumberFormat="1" applyFont="1" applyFill="1" applyBorder="1" applyAlignment="1">
      <alignment horizontal="center" vertical="center" wrapText="1"/>
    </xf>
    <xf numFmtId="0" fontId="38" fillId="7" borderId="21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6" xfId="0" applyFont="1" applyFill="1" applyBorder="1" applyAlignment="1">
      <alignment horizontal="center" vertical="center" wrapText="1"/>
    </xf>
    <xf numFmtId="0" fontId="38" fillId="7" borderId="27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34" fillId="6" borderId="30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1" fillId="6" borderId="61" xfId="3" applyFont="1" applyFill="1" applyBorder="1" applyAlignment="1" applyProtection="1">
      <alignment horizontal="center" wrapText="1"/>
      <protection hidden="1"/>
    </xf>
    <xf numFmtId="0" fontId="31" fillId="6" borderId="62" xfId="3" applyFont="1" applyFill="1" applyBorder="1" applyAlignment="1" applyProtection="1">
      <alignment horizontal="center" wrapText="1"/>
      <protection hidden="1"/>
    </xf>
    <xf numFmtId="0" fontId="31" fillId="6" borderId="64" xfId="3" applyFont="1" applyFill="1" applyBorder="1" applyAlignment="1" applyProtection="1">
      <alignment horizontal="center" wrapText="1"/>
      <protection hidden="1"/>
    </xf>
    <xf numFmtId="0" fontId="31" fillId="6" borderId="56" xfId="3" applyFont="1" applyFill="1" applyBorder="1" applyAlignment="1" applyProtection="1">
      <alignment horizontal="center" wrapText="1"/>
      <protection hidden="1"/>
    </xf>
    <xf numFmtId="0" fontId="31" fillId="6" borderId="66" xfId="3" applyFont="1" applyFill="1" applyBorder="1" applyAlignment="1" applyProtection="1">
      <alignment horizontal="center" wrapText="1"/>
      <protection hidden="1"/>
    </xf>
    <xf numFmtId="0" fontId="31" fillId="6" borderId="67" xfId="3" applyFont="1" applyFill="1" applyBorder="1" applyAlignment="1" applyProtection="1">
      <alignment horizontal="center" wrapText="1"/>
      <protection hidden="1"/>
    </xf>
    <xf numFmtId="165" fontId="40" fillId="7" borderId="6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6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5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7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73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74" xfId="0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27" fillId="2" borderId="72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41" fillId="7" borderId="66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0" fontId="27" fillId="2" borderId="67" xfId="0" applyFont="1" applyFill="1" applyBorder="1" applyAlignment="1">
      <alignment horizontal="left" vertical="center" indent="1"/>
    </xf>
    <xf numFmtId="0" fontId="33" fillId="6" borderId="58" xfId="3" applyFont="1" applyFill="1" applyBorder="1" applyAlignment="1" applyProtection="1">
      <alignment horizontal="center" vertical="center" wrapText="1"/>
      <protection hidden="1"/>
    </xf>
    <xf numFmtId="0" fontId="33" fillId="6" borderId="59" xfId="3" applyFont="1" applyFill="1" applyBorder="1" applyAlignment="1" applyProtection="1">
      <alignment horizontal="center" vertical="center" wrapText="1"/>
      <protection hidden="1"/>
    </xf>
    <xf numFmtId="0" fontId="33" fillId="6" borderId="60" xfId="3" applyFont="1" applyFill="1" applyBorder="1" applyAlignment="1" applyProtection="1">
      <alignment horizontal="center" vertical="center" wrapText="1"/>
      <protection hidden="1"/>
    </xf>
    <xf numFmtId="0" fontId="41" fillId="7" borderId="64" xfId="0" applyFont="1" applyFill="1" applyBorder="1" applyAlignment="1">
      <alignment horizontal="left" vertical="center" indent="1"/>
    </xf>
    <xf numFmtId="0" fontId="41" fillId="7" borderId="56" xfId="0" applyFont="1" applyFill="1" applyBorder="1" applyAlignment="1">
      <alignment horizontal="left" vertical="center" indent="1"/>
    </xf>
    <xf numFmtId="3" fontId="27" fillId="2" borderId="56" xfId="0" applyNumberFormat="1" applyFont="1" applyFill="1" applyBorder="1" applyAlignment="1">
      <alignment horizontal="left" vertical="center" indent="1"/>
    </xf>
    <xf numFmtId="0" fontId="27" fillId="2" borderId="56" xfId="0" applyFont="1" applyFill="1" applyBorder="1" applyAlignment="1">
      <alignment horizontal="left" vertical="center" indent="1"/>
    </xf>
    <xf numFmtId="0" fontId="27" fillId="7" borderId="76" xfId="0" applyFont="1" applyFill="1" applyBorder="1" applyAlignment="1">
      <alignment horizontal="left" vertical="center" indent="1"/>
    </xf>
    <xf numFmtId="0" fontId="27" fillId="7" borderId="77" xfId="0" applyFont="1" applyFill="1" applyBorder="1" applyAlignment="1">
      <alignment horizontal="left" vertical="center" indent="1"/>
    </xf>
    <xf numFmtId="0" fontId="27" fillId="7" borderId="79" xfId="0" applyFont="1" applyFill="1" applyBorder="1" applyAlignment="1">
      <alignment horizontal="left" vertical="center" indent="1"/>
    </xf>
    <xf numFmtId="0" fontId="27" fillId="7" borderId="80" xfId="0" applyFont="1" applyFill="1" applyBorder="1" applyAlignment="1">
      <alignment horizontal="left" vertical="center" indent="1"/>
    </xf>
    <xf numFmtId="0" fontId="27" fillId="0" borderId="0" xfId="0" applyFont="1" applyFill="1" applyBorder="1" applyAlignment="1">
      <alignment horizontal="center" vertical="center"/>
    </xf>
    <xf numFmtId="0" fontId="46" fillId="0" borderId="0" xfId="10" applyFont="1" applyFill="1" applyBorder="1" applyAlignment="1">
      <alignment horizontal="center" vertical="center"/>
    </xf>
    <xf numFmtId="0" fontId="47" fillId="8" borderId="0" xfId="0" applyFont="1" applyFill="1" applyBorder="1" applyAlignment="1">
      <alignment horizontal="center" vertical="center"/>
    </xf>
    <xf numFmtId="0" fontId="47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47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0</xdr:row>
      <xdr:rowOff>171451</xdr:rowOff>
    </xdr:from>
    <xdr:to>
      <xdr:col>15</xdr:col>
      <xdr:colOff>152401</xdr:colOff>
      <xdr:row>9</xdr:row>
      <xdr:rowOff>173831</xdr:rowOff>
    </xdr:to>
    <xdr:sp macro="" textlink="">
      <xdr:nvSpPr>
        <xdr:cNvPr id="3" name="Retângulo 2"/>
        <xdr:cNvSpPr/>
      </xdr:nvSpPr>
      <xdr:spPr>
        <a:xfrm>
          <a:off x="6486526" y="171451"/>
          <a:ext cx="4057650" cy="176450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28853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27660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685800</xdr:colOff>
      <xdr:row>21</xdr:row>
      <xdr:rowOff>0</xdr:rowOff>
    </xdr:to>
    <xdr:pic>
      <xdr:nvPicPr>
        <xdr:cNvPr id="3" name="Imagem 2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800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26</xdr:row>
      <xdr:rowOff>0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12"/>
  <sheetViews>
    <sheetView showGridLines="0" zoomScale="70" zoomScaleNormal="70" workbookViewId="0">
      <pane ySplit="3" topLeftCell="A67" activePane="bottomLeft" state="frozen"/>
      <selection activeCell="L24" sqref="L24"/>
      <selection pane="bottomLeft" activeCell="K75" sqref="K75"/>
    </sheetView>
  </sheetViews>
  <sheetFormatPr defaultColWidth="9.33203125" defaultRowHeight="18" customHeight="1" outlineLevelCol="1"/>
  <cols>
    <col min="1" max="1" width="16.83203125" style="20" customWidth="1"/>
    <col min="2" max="2" width="24.5" style="34" bestFit="1" customWidth="1"/>
    <col min="3" max="3" width="35.83203125" style="35" customWidth="1"/>
    <col min="4" max="4" width="29.5" style="35" bestFit="1" customWidth="1"/>
    <col min="5" max="5" width="67.33203125" style="35" bestFit="1" customWidth="1"/>
    <col min="6" max="6" width="47.6640625" style="36" customWidth="1"/>
    <col min="7" max="7" width="18" style="36" customWidth="1" outlineLevel="1"/>
    <col min="8" max="8" width="29.1640625" style="37" customWidth="1" outlineLevel="1"/>
    <col min="9" max="9" width="21.33203125" style="38" bestFit="1" customWidth="1"/>
    <col min="10" max="16384" width="9.33203125" style="11"/>
  </cols>
  <sheetData>
    <row r="1" spans="1:9" ht="33.75" customHeight="1">
      <c r="B1" s="152" t="s">
        <v>880</v>
      </c>
      <c r="C1" s="153"/>
      <c r="D1" s="153"/>
      <c r="E1" s="153"/>
      <c r="F1" s="153"/>
      <c r="G1" s="153"/>
      <c r="H1" s="154"/>
      <c r="I1" s="110"/>
    </row>
    <row r="2" spans="1:9" ht="36" customHeight="1">
      <c r="B2" s="111" t="s">
        <v>357</v>
      </c>
      <c r="C2" s="112" t="s">
        <v>394</v>
      </c>
      <c r="D2" s="112" t="s">
        <v>1182</v>
      </c>
      <c r="E2" s="120" t="s">
        <v>377</v>
      </c>
      <c r="F2" s="112" t="s">
        <v>450</v>
      </c>
      <c r="G2" s="112" t="s">
        <v>3</v>
      </c>
      <c r="H2" s="112" t="s">
        <v>451</v>
      </c>
      <c r="I2" s="113" t="s">
        <v>5</v>
      </c>
    </row>
    <row r="3" spans="1:9" ht="12" customHeight="1" thickBot="1">
      <c r="B3" s="114"/>
      <c r="C3" s="115"/>
      <c r="D3" s="115"/>
      <c r="E3" s="116"/>
      <c r="F3" s="117"/>
      <c r="G3" s="117"/>
      <c r="H3" s="118"/>
      <c r="I3" s="119"/>
    </row>
    <row r="4" spans="1:9" ht="18" customHeight="1">
      <c r="A4" s="20" t="str">
        <f>E4</f>
        <v>ÁREA ALAGADA - PERÍODICA</v>
      </c>
      <c r="B4" s="23" t="s">
        <v>704</v>
      </c>
      <c r="C4" s="24" t="s">
        <v>439</v>
      </c>
      <c r="D4" s="24" t="s">
        <v>439</v>
      </c>
      <c r="E4" s="24" t="s">
        <v>456</v>
      </c>
      <c r="F4" s="25" t="s">
        <v>693</v>
      </c>
      <c r="G4" s="25" t="s">
        <v>452</v>
      </c>
      <c r="H4" s="26" t="s">
        <v>453</v>
      </c>
      <c r="I4" s="27" t="s">
        <v>6</v>
      </c>
    </row>
    <row r="5" spans="1:9" ht="18" customHeight="1">
      <c r="A5" s="20" t="str">
        <f t="shared" ref="A5:A68" si="0">E5</f>
        <v>ÁREA ALAGADA - PERMANENTE</v>
      </c>
      <c r="B5" s="28" t="s">
        <v>705</v>
      </c>
      <c r="C5" s="29" t="s">
        <v>439</v>
      </c>
      <c r="D5" s="29" t="s">
        <v>439</v>
      </c>
      <c r="E5" s="29" t="s">
        <v>408</v>
      </c>
      <c r="F5" s="30" t="s">
        <v>693</v>
      </c>
      <c r="G5" s="30" t="s">
        <v>452</v>
      </c>
      <c r="H5" s="31" t="s">
        <v>453</v>
      </c>
      <c r="I5" s="32" t="s">
        <v>6</v>
      </c>
    </row>
    <row r="6" spans="1:9" ht="18" customHeight="1">
      <c r="A6" s="20" t="str">
        <f t="shared" si="0"/>
        <v>ÁREA ALAGADA - SOMENTE BARCOS</v>
      </c>
      <c r="B6" s="28" t="s">
        <v>706</v>
      </c>
      <c r="C6" s="29" t="s">
        <v>439</v>
      </c>
      <c r="D6" s="29" t="s">
        <v>439</v>
      </c>
      <c r="E6" s="29" t="s">
        <v>454</v>
      </c>
      <c r="F6" s="30" t="s">
        <v>455</v>
      </c>
      <c r="G6" s="30" t="s">
        <v>452</v>
      </c>
      <c r="H6" s="31" t="s">
        <v>453</v>
      </c>
      <c r="I6" s="32" t="s">
        <v>6</v>
      </c>
    </row>
    <row r="7" spans="1:9" ht="18" customHeight="1">
      <c r="A7" s="20" t="str">
        <f t="shared" si="0"/>
        <v>CERCAS CRUZANDO C/ A LT - S/ ATERRAM.</v>
      </c>
      <c r="B7" s="28" t="s">
        <v>707</v>
      </c>
      <c r="C7" s="29" t="s">
        <v>439</v>
      </c>
      <c r="D7" s="29" t="s">
        <v>439</v>
      </c>
      <c r="E7" s="29" t="s">
        <v>606</v>
      </c>
      <c r="F7" s="30" t="s">
        <v>457</v>
      </c>
      <c r="G7" s="30" t="s">
        <v>452</v>
      </c>
      <c r="H7" s="31" t="s">
        <v>453</v>
      </c>
      <c r="I7" s="32" t="s">
        <v>6</v>
      </c>
    </row>
    <row r="8" spans="1:9" ht="18" customHeight="1">
      <c r="A8" s="20" t="str">
        <f t="shared" si="0"/>
        <v>CERCAS CRUZANDO C/ LT S/ SECC.</v>
      </c>
      <c r="B8" s="28" t="s">
        <v>708</v>
      </c>
      <c r="C8" s="29" t="s">
        <v>439</v>
      </c>
      <c r="D8" s="29" t="s">
        <v>439</v>
      </c>
      <c r="E8" s="29" t="s">
        <v>607</v>
      </c>
      <c r="F8" s="30" t="s">
        <v>458</v>
      </c>
      <c r="G8" s="30" t="s">
        <v>452</v>
      </c>
      <c r="H8" s="31" t="s">
        <v>453</v>
      </c>
      <c r="I8" s="32" t="s">
        <v>6</v>
      </c>
    </row>
    <row r="9" spans="1:9" ht="18" customHeight="1">
      <c r="A9" s="20" t="str">
        <f t="shared" si="0"/>
        <v>DIFICULDADE DE ACESSO</v>
      </c>
      <c r="B9" s="28" t="s">
        <v>709</v>
      </c>
      <c r="C9" s="29" t="s">
        <v>439</v>
      </c>
      <c r="D9" s="29" t="s">
        <v>439</v>
      </c>
      <c r="E9" s="29" t="s">
        <v>626</v>
      </c>
      <c r="F9" s="56" t="s">
        <v>1395</v>
      </c>
      <c r="G9" s="30" t="s">
        <v>452</v>
      </c>
      <c r="H9" s="31" t="s">
        <v>453</v>
      </c>
      <c r="I9" s="32" t="s">
        <v>6</v>
      </c>
    </row>
    <row r="10" spans="1:9" ht="18" customHeight="1">
      <c r="A10" s="20" t="str">
        <f t="shared" si="0"/>
        <v>ÁRV. DENTRO DA FAIXA-DIST. CONDUT. &gt; 1,5M</v>
      </c>
      <c r="B10" s="28" t="s">
        <v>695</v>
      </c>
      <c r="C10" s="29" t="s">
        <v>440</v>
      </c>
      <c r="D10" s="29" t="s">
        <v>459</v>
      </c>
      <c r="E10" s="29" t="s">
        <v>608</v>
      </c>
      <c r="F10" s="30" t="s">
        <v>460</v>
      </c>
      <c r="G10" s="30" t="s">
        <v>452</v>
      </c>
      <c r="H10" s="31" t="s">
        <v>453</v>
      </c>
      <c r="I10" s="32" t="s">
        <v>7</v>
      </c>
    </row>
    <row r="11" spans="1:9" ht="18" customHeight="1">
      <c r="A11" s="20" t="str">
        <f t="shared" si="0"/>
        <v>ÁRV. DENTRO DA FAIXA-DIST. CONDUT. &lt; 1,5M</v>
      </c>
      <c r="B11" s="28" t="s">
        <v>696</v>
      </c>
      <c r="C11" s="29" t="s">
        <v>440</v>
      </c>
      <c r="D11" s="29" t="s">
        <v>459</v>
      </c>
      <c r="E11" s="29" t="s">
        <v>609</v>
      </c>
      <c r="F11" s="30" t="s">
        <v>460</v>
      </c>
      <c r="G11" s="30" t="s">
        <v>452</v>
      </c>
      <c r="H11" s="31" t="s">
        <v>453</v>
      </c>
      <c r="I11" s="32" t="s">
        <v>8</v>
      </c>
    </row>
    <row r="12" spans="1:9" ht="18" customHeight="1">
      <c r="A12" s="20" t="str">
        <f t="shared" si="0"/>
        <v>ÁRV. FORA DA FAIXA-NÃO PERIGOSA</v>
      </c>
      <c r="B12" s="28" t="s">
        <v>697</v>
      </c>
      <c r="C12" s="29" t="s">
        <v>440</v>
      </c>
      <c r="D12" s="29" t="s">
        <v>459</v>
      </c>
      <c r="E12" s="29" t="s">
        <v>611</v>
      </c>
      <c r="F12" s="30" t="s">
        <v>462</v>
      </c>
      <c r="G12" s="30" t="s">
        <v>452</v>
      </c>
      <c r="H12" s="31" t="s">
        <v>453</v>
      </c>
      <c r="I12" s="32" t="s">
        <v>6</v>
      </c>
    </row>
    <row r="13" spans="1:9" ht="18" customHeight="1">
      <c r="A13" s="20" t="str">
        <f t="shared" si="0"/>
        <v>ÁRV. FORA DA FAIXA- PERIGOSA</v>
      </c>
      <c r="B13" s="28" t="s">
        <v>698</v>
      </c>
      <c r="C13" s="29" t="s">
        <v>440</v>
      </c>
      <c r="D13" s="29" t="s">
        <v>459</v>
      </c>
      <c r="E13" s="29" t="s">
        <v>610</v>
      </c>
      <c r="F13" s="30" t="s">
        <v>462</v>
      </c>
      <c r="G13" s="30" t="s">
        <v>452</v>
      </c>
      <c r="H13" s="31" t="s">
        <v>453</v>
      </c>
      <c r="I13" s="32" t="s">
        <v>8</v>
      </c>
    </row>
    <row r="14" spans="1:9" ht="18" customHeight="1">
      <c r="A14" s="20" t="str">
        <f t="shared" si="0"/>
        <v>ÁRV. TOCANDO OS CONDUTORES</v>
      </c>
      <c r="B14" s="28" t="s">
        <v>699</v>
      </c>
      <c r="C14" s="29" t="s">
        <v>440</v>
      </c>
      <c r="D14" s="29" t="s">
        <v>459</v>
      </c>
      <c r="E14" s="29" t="s">
        <v>612</v>
      </c>
      <c r="F14" s="30" t="s">
        <v>460</v>
      </c>
      <c r="G14" s="30" t="s">
        <v>461</v>
      </c>
      <c r="H14" s="31" t="s">
        <v>453</v>
      </c>
      <c r="I14" s="32" t="s">
        <v>8</v>
      </c>
    </row>
    <row r="15" spans="1:9" ht="18" customHeight="1">
      <c r="A15" s="20" t="str">
        <f t="shared" si="0"/>
        <v>RAMA SUBINDO EM ESTAI /ESTRUTURA</v>
      </c>
      <c r="B15" s="28" t="s">
        <v>700</v>
      </c>
      <c r="C15" s="29" t="s">
        <v>440</v>
      </c>
      <c r="D15" s="29" t="s">
        <v>459</v>
      </c>
      <c r="E15" s="29" t="s">
        <v>613</v>
      </c>
      <c r="F15" s="30" t="s">
        <v>463</v>
      </c>
      <c r="G15" s="30" t="s">
        <v>452</v>
      </c>
      <c r="H15" s="31" t="s">
        <v>453</v>
      </c>
      <c r="I15" s="32" t="s">
        <v>8</v>
      </c>
    </row>
    <row r="16" spans="1:9" ht="18" customHeight="1">
      <c r="A16" s="20" t="str">
        <f t="shared" si="0"/>
        <v>CONSTRUÇÕES NA FAIXA DE SERVIDÃO</v>
      </c>
      <c r="B16" s="28" t="s">
        <v>701</v>
      </c>
      <c r="C16" s="29" t="s">
        <v>440</v>
      </c>
      <c r="D16" s="29" t="s">
        <v>464</v>
      </c>
      <c r="E16" s="29" t="s">
        <v>614</v>
      </c>
      <c r="F16" s="30" t="s">
        <v>467</v>
      </c>
      <c r="G16" s="60" t="s">
        <v>452</v>
      </c>
      <c r="H16" s="31" t="s">
        <v>453</v>
      </c>
      <c r="I16" s="32" t="s">
        <v>7</v>
      </c>
    </row>
    <row r="17" spans="1:9" ht="18" customHeight="1">
      <c r="A17" s="20" t="str">
        <f t="shared" si="0"/>
        <v>FAIXA INEXISTENTE</v>
      </c>
      <c r="B17" s="28" t="s">
        <v>702</v>
      </c>
      <c r="C17" s="29" t="s">
        <v>440</v>
      </c>
      <c r="D17" s="29" t="s">
        <v>464</v>
      </c>
      <c r="E17" s="29" t="s">
        <v>437</v>
      </c>
      <c r="F17" s="30" t="s">
        <v>465</v>
      </c>
      <c r="G17" s="30" t="s">
        <v>452</v>
      </c>
      <c r="H17" s="31" t="s">
        <v>453</v>
      </c>
      <c r="I17" s="32" t="s">
        <v>6</v>
      </c>
    </row>
    <row r="18" spans="1:9" ht="18" customHeight="1">
      <c r="A18" s="20" t="str">
        <f t="shared" si="0"/>
        <v>FAIXA SUJA</v>
      </c>
      <c r="B18" s="28" t="s">
        <v>703</v>
      </c>
      <c r="C18" s="29" t="s">
        <v>440</v>
      </c>
      <c r="D18" s="29" t="s">
        <v>464</v>
      </c>
      <c r="E18" s="29" t="s">
        <v>438</v>
      </c>
      <c r="F18" s="30" t="s">
        <v>466</v>
      </c>
      <c r="G18" s="30" t="s">
        <v>452</v>
      </c>
      <c r="H18" s="31" t="s">
        <v>453</v>
      </c>
      <c r="I18" s="32" t="s">
        <v>7</v>
      </c>
    </row>
    <row r="19" spans="1:9" ht="18" customHeight="1">
      <c r="A19" s="20" t="str">
        <f t="shared" si="0"/>
        <v>DEFENSA DANIFICADA</v>
      </c>
      <c r="B19" s="28" t="s">
        <v>710</v>
      </c>
      <c r="C19" s="29" t="s">
        <v>402</v>
      </c>
      <c r="D19" s="29" t="s">
        <v>16</v>
      </c>
      <c r="E19" s="29" t="s">
        <v>472</v>
      </c>
      <c r="F19" s="30" t="s">
        <v>471</v>
      </c>
      <c r="G19" s="30" t="s">
        <v>452</v>
      </c>
      <c r="H19" s="31" t="s">
        <v>470</v>
      </c>
      <c r="I19" s="32" t="s">
        <v>7</v>
      </c>
    </row>
    <row r="20" spans="1:9" ht="18" customHeight="1">
      <c r="A20" s="20" t="str">
        <f t="shared" si="0"/>
        <v>DEFENSA INEXISTENTE</v>
      </c>
      <c r="B20" s="28" t="s">
        <v>711</v>
      </c>
      <c r="C20" s="29" t="s">
        <v>402</v>
      </c>
      <c r="D20" s="29" t="s">
        <v>16</v>
      </c>
      <c r="E20" s="29" t="s">
        <v>441</v>
      </c>
      <c r="F20" s="30" t="s">
        <v>471</v>
      </c>
      <c r="G20" s="30" t="s">
        <v>452</v>
      </c>
      <c r="H20" s="31" t="s">
        <v>470</v>
      </c>
      <c r="I20" s="32" t="s">
        <v>7</v>
      </c>
    </row>
    <row r="21" spans="1:9" ht="18" customHeight="1">
      <c r="A21" s="20" t="str">
        <f t="shared" si="0"/>
        <v xml:space="preserve">B. POSTE FERRAG. EXPOSTA-OXIDAÇÃO F1/F2 </v>
      </c>
      <c r="B21" s="28" t="s">
        <v>712</v>
      </c>
      <c r="C21" s="29" t="s">
        <v>402</v>
      </c>
      <c r="D21" s="29" t="s">
        <v>2</v>
      </c>
      <c r="E21" s="29" t="s">
        <v>615</v>
      </c>
      <c r="F21" s="30" t="s">
        <v>547</v>
      </c>
      <c r="G21" s="30" t="s">
        <v>461</v>
      </c>
      <c r="H21" s="31" t="s">
        <v>470</v>
      </c>
      <c r="I21" s="32" t="s">
        <v>6</v>
      </c>
    </row>
    <row r="22" spans="1:9" ht="18" customHeight="1">
      <c r="A22" s="20" t="str">
        <f t="shared" si="0"/>
        <v>B. POSTE FERRAG. EXPOSTA-OXIDAÇÃO F3</v>
      </c>
      <c r="B22" s="28" t="s">
        <v>713</v>
      </c>
      <c r="C22" s="29" t="s">
        <v>402</v>
      </c>
      <c r="D22" s="29" t="s">
        <v>2</v>
      </c>
      <c r="E22" s="29" t="s">
        <v>616</v>
      </c>
      <c r="F22" s="55" t="s">
        <v>1394</v>
      </c>
      <c r="G22" s="30" t="s">
        <v>461</v>
      </c>
      <c r="H22" s="31" t="s">
        <v>470</v>
      </c>
      <c r="I22" s="32" t="s">
        <v>7</v>
      </c>
    </row>
    <row r="23" spans="1:9" ht="18" customHeight="1">
      <c r="A23" s="20" t="str">
        <f t="shared" si="0"/>
        <v>B.POSTE FERRAG EXPOSTA OXIDAÇÃO F4/F5</v>
      </c>
      <c r="B23" s="28" t="s">
        <v>714</v>
      </c>
      <c r="C23" s="29" t="s">
        <v>402</v>
      </c>
      <c r="D23" s="29" t="s">
        <v>2</v>
      </c>
      <c r="E23" s="29" t="s">
        <v>617</v>
      </c>
      <c r="F23" s="55" t="s">
        <v>1394</v>
      </c>
      <c r="G23" s="30" t="s">
        <v>461</v>
      </c>
      <c r="H23" s="31" t="s">
        <v>470</v>
      </c>
      <c r="I23" s="32" t="s">
        <v>8</v>
      </c>
    </row>
    <row r="24" spans="1:9" ht="18" customHeight="1">
      <c r="A24" s="20" t="str">
        <f t="shared" si="0"/>
        <v>B. POSTE DANIFICADA C/ RISCO DE QUEDA</v>
      </c>
      <c r="B24" s="28" t="s">
        <v>715</v>
      </c>
      <c r="C24" s="29" t="s">
        <v>402</v>
      </c>
      <c r="D24" s="29" t="s">
        <v>2</v>
      </c>
      <c r="E24" s="29" t="s">
        <v>618</v>
      </c>
      <c r="F24" s="30" t="s">
        <v>468</v>
      </c>
      <c r="G24" s="30" t="s">
        <v>452</v>
      </c>
      <c r="H24" s="31" t="s">
        <v>453</v>
      </c>
      <c r="I24" s="32" t="s">
        <v>8</v>
      </c>
    </row>
    <row r="25" spans="1:9" ht="18" customHeight="1">
      <c r="A25" s="20" t="str">
        <f t="shared" si="0"/>
        <v>B.POSTE DANIFICADA S/ RISCO DE QUEDA</v>
      </c>
      <c r="B25" s="28" t="s">
        <v>716</v>
      </c>
      <c r="C25" s="29" t="s">
        <v>402</v>
      </c>
      <c r="D25" s="29" t="s">
        <v>2</v>
      </c>
      <c r="E25" s="29" t="s">
        <v>619</v>
      </c>
      <c r="F25" s="30" t="s">
        <v>468</v>
      </c>
      <c r="G25" s="30" t="s">
        <v>452</v>
      </c>
      <c r="H25" s="31" t="s">
        <v>453</v>
      </c>
      <c r="I25" s="32" t="s">
        <v>7</v>
      </c>
    </row>
    <row r="26" spans="1:9" ht="18" customHeight="1">
      <c r="A26" s="20" t="str">
        <f t="shared" si="0"/>
        <v>EROSÃO PERIGOSA PRÓXIMA À ESTRUTURA</v>
      </c>
      <c r="B26" s="28" t="s">
        <v>717</v>
      </c>
      <c r="C26" s="29" t="s">
        <v>402</v>
      </c>
      <c r="D26" s="29" t="s">
        <v>2</v>
      </c>
      <c r="E26" s="29" t="s">
        <v>409</v>
      </c>
      <c r="F26" s="30" t="s">
        <v>473</v>
      </c>
      <c r="G26" s="30" t="s">
        <v>452</v>
      </c>
      <c r="H26" s="31" t="s">
        <v>453</v>
      </c>
      <c r="I26" s="32" t="s">
        <v>8</v>
      </c>
    </row>
    <row r="27" spans="1:9" ht="18" customHeight="1">
      <c r="A27" s="20" t="str">
        <f t="shared" si="0"/>
        <v>EROSÃO PRÓXIMA À ESTRUTURA</v>
      </c>
      <c r="B27" s="28" t="s">
        <v>718</v>
      </c>
      <c r="C27" s="29" t="s">
        <v>402</v>
      </c>
      <c r="D27" s="29" t="s">
        <v>2</v>
      </c>
      <c r="E27" s="29" t="s">
        <v>474</v>
      </c>
      <c r="F27" s="30" t="s">
        <v>473</v>
      </c>
      <c r="G27" s="30" t="s">
        <v>452</v>
      </c>
      <c r="H27" s="31" t="s">
        <v>453</v>
      </c>
      <c r="I27" s="32" t="s">
        <v>7</v>
      </c>
    </row>
    <row r="28" spans="1:9" ht="18" customHeight="1">
      <c r="A28" s="20" t="str">
        <f t="shared" si="0"/>
        <v>FORMIGUEIRO PRÓX. À BASE DA ESTRUTURA</v>
      </c>
      <c r="B28" s="28" t="s">
        <v>719</v>
      </c>
      <c r="C28" s="29" t="s">
        <v>402</v>
      </c>
      <c r="D28" s="29" t="s">
        <v>2</v>
      </c>
      <c r="E28" s="29" t="s">
        <v>620</v>
      </c>
      <c r="F28" s="30" t="s">
        <v>475</v>
      </c>
      <c r="G28" s="30" t="s">
        <v>452</v>
      </c>
      <c r="H28" s="31" t="s">
        <v>453</v>
      </c>
      <c r="I28" s="32" t="s">
        <v>6</v>
      </c>
    </row>
    <row r="29" spans="1:9" ht="18" customHeight="1">
      <c r="A29" s="20" t="str">
        <f t="shared" si="0"/>
        <v>B. TORRE PARAFUSO OXIDADO F1/F2</v>
      </c>
      <c r="B29" s="28" t="s">
        <v>720</v>
      </c>
      <c r="C29" s="29" t="s">
        <v>402</v>
      </c>
      <c r="D29" s="29" t="s">
        <v>443</v>
      </c>
      <c r="E29" s="29" t="s">
        <v>621</v>
      </c>
      <c r="F29" s="30" t="s">
        <v>477</v>
      </c>
      <c r="G29" s="30" t="s">
        <v>461</v>
      </c>
      <c r="H29" s="31" t="s">
        <v>453</v>
      </c>
      <c r="I29" s="32" t="s">
        <v>6</v>
      </c>
    </row>
    <row r="30" spans="1:9" ht="18" customHeight="1">
      <c r="A30" s="20" t="str">
        <f t="shared" si="0"/>
        <v>B. TORRE PARAFUSO OXIDADO F3</v>
      </c>
      <c r="B30" s="28" t="s">
        <v>721</v>
      </c>
      <c r="C30" s="29" t="s">
        <v>402</v>
      </c>
      <c r="D30" s="29" t="s">
        <v>443</v>
      </c>
      <c r="E30" s="59" t="s">
        <v>1403</v>
      </c>
      <c r="F30" s="30" t="s">
        <v>477</v>
      </c>
      <c r="G30" s="30" t="s">
        <v>461</v>
      </c>
      <c r="H30" s="31" t="s">
        <v>453</v>
      </c>
      <c r="I30" s="32" t="s">
        <v>7</v>
      </c>
    </row>
    <row r="31" spans="1:9" ht="18" customHeight="1">
      <c r="A31" s="20" t="str">
        <f t="shared" si="0"/>
        <v>B. TORRE PARAFUSO OXIDADO F4/F5</v>
      </c>
      <c r="B31" s="28" t="s">
        <v>685</v>
      </c>
      <c r="C31" s="29" t="s">
        <v>402</v>
      </c>
      <c r="D31" s="29" t="s">
        <v>443</v>
      </c>
      <c r="E31" s="59" t="s">
        <v>1404</v>
      </c>
      <c r="F31" s="30" t="s">
        <v>477</v>
      </c>
      <c r="G31" s="30" t="s">
        <v>461</v>
      </c>
      <c r="H31" s="31" t="s">
        <v>453</v>
      </c>
      <c r="I31" s="32" t="s">
        <v>8</v>
      </c>
    </row>
    <row r="32" spans="1:9" ht="18" customHeight="1">
      <c r="A32" s="20" t="str">
        <f t="shared" si="0"/>
        <v>FIXAÇÃO DA BASE TORRE-OXIDAÇÃO F1/F2</v>
      </c>
      <c r="B32" s="28" t="s">
        <v>686</v>
      </c>
      <c r="C32" s="29" t="s">
        <v>402</v>
      </c>
      <c r="D32" s="29" t="s">
        <v>443</v>
      </c>
      <c r="E32" s="29" t="s">
        <v>622</v>
      </c>
      <c r="F32" s="30" t="s">
        <v>476</v>
      </c>
      <c r="G32" s="30" t="s">
        <v>452</v>
      </c>
      <c r="H32" s="31" t="s">
        <v>470</v>
      </c>
      <c r="I32" s="32" t="s">
        <v>6</v>
      </c>
    </row>
    <row r="33" spans="1:9" ht="18" customHeight="1">
      <c r="A33" s="20" t="str">
        <f t="shared" si="0"/>
        <v>FIXAÇÃO DA BASE TORRE-OXIDAÇÃO F3</v>
      </c>
      <c r="B33" s="28" t="s">
        <v>687</v>
      </c>
      <c r="C33" s="29" t="s">
        <v>402</v>
      </c>
      <c r="D33" s="29" t="s">
        <v>443</v>
      </c>
      <c r="E33" s="29" t="s">
        <v>623</v>
      </c>
      <c r="F33" s="30" t="s">
        <v>476</v>
      </c>
      <c r="G33" s="30" t="s">
        <v>452</v>
      </c>
      <c r="H33" s="31" t="s">
        <v>470</v>
      </c>
      <c r="I33" s="32" t="s">
        <v>7</v>
      </c>
    </row>
    <row r="34" spans="1:9" ht="18" customHeight="1">
      <c r="A34" s="20" t="str">
        <f t="shared" si="0"/>
        <v>FIXAÇÃO DA BASE TORRE-OXIDAÇÃO F4/F5</v>
      </c>
      <c r="B34" s="28" t="s">
        <v>688</v>
      </c>
      <c r="C34" s="29" t="s">
        <v>402</v>
      </c>
      <c r="D34" s="29" t="s">
        <v>443</v>
      </c>
      <c r="E34" s="29" t="s">
        <v>624</v>
      </c>
      <c r="F34" s="30" t="s">
        <v>476</v>
      </c>
      <c r="G34" s="30" t="s">
        <v>452</v>
      </c>
      <c r="H34" s="31" t="s">
        <v>470</v>
      </c>
      <c r="I34" s="32" t="s">
        <v>8</v>
      </c>
    </row>
    <row r="35" spans="1:9" ht="18" customHeight="1">
      <c r="A35" s="20" t="str">
        <f t="shared" si="0"/>
        <v>AMORTECEDORES DANIFICADOS</v>
      </c>
      <c r="B35" s="28" t="s">
        <v>722</v>
      </c>
      <c r="C35" s="29" t="s">
        <v>478</v>
      </c>
      <c r="D35" s="29" t="s">
        <v>501</v>
      </c>
      <c r="E35" s="29" t="s">
        <v>415</v>
      </c>
      <c r="F35" s="30" t="s">
        <v>504</v>
      </c>
      <c r="G35" s="30" t="s">
        <v>461</v>
      </c>
      <c r="H35" s="31" t="s">
        <v>453</v>
      </c>
      <c r="I35" s="32" t="s">
        <v>6</v>
      </c>
    </row>
    <row r="36" spans="1:9" ht="18" customHeight="1">
      <c r="A36" s="20" t="str">
        <f t="shared" si="0"/>
        <v>AMORTECEDORES FORA DO LUGAR</v>
      </c>
      <c r="B36" s="28" t="s">
        <v>723</v>
      </c>
      <c r="C36" s="29" t="s">
        <v>478</v>
      </c>
      <c r="D36" s="29" t="s">
        <v>501</v>
      </c>
      <c r="E36" s="29" t="s">
        <v>502</v>
      </c>
      <c r="F36" s="30" t="s">
        <v>503</v>
      </c>
      <c r="G36" s="30" t="s">
        <v>461</v>
      </c>
      <c r="H36" s="31" t="s">
        <v>453</v>
      </c>
      <c r="I36" s="32" t="s">
        <v>6</v>
      </c>
    </row>
    <row r="37" spans="1:9" ht="18" customHeight="1">
      <c r="A37" s="20" t="str">
        <f t="shared" si="0"/>
        <v>CABO COM TENTO PARTIDO</v>
      </c>
      <c r="B37" s="28" t="s">
        <v>724</v>
      </c>
      <c r="C37" s="29" t="s">
        <v>478</v>
      </c>
      <c r="D37" s="29" t="s">
        <v>479</v>
      </c>
      <c r="E37" s="29" t="s">
        <v>416</v>
      </c>
      <c r="F37" s="30" t="s">
        <v>480</v>
      </c>
      <c r="G37" s="30" t="s">
        <v>461</v>
      </c>
      <c r="H37" s="31" t="s">
        <v>470</v>
      </c>
      <c r="I37" s="32" t="s">
        <v>7</v>
      </c>
    </row>
    <row r="38" spans="1:9" ht="18" customHeight="1">
      <c r="A38" s="20" t="str">
        <f t="shared" si="0"/>
        <v>CABO VÃO BAIXO</v>
      </c>
      <c r="B38" s="28" t="s">
        <v>725</v>
      </c>
      <c r="C38" s="29" t="s">
        <v>478</v>
      </c>
      <c r="D38" s="29" t="s">
        <v>479</v>
      </c>
      <c r="E38" s="29" t="s">
        <v>481</v>
      </c>
      <c r="F38" s="30" t="s">
        <v>482</v>
      </c>
      <c r="G38" s="30" t="s">
        <v>461</v>
      </c>
      <c r="H38" s="31" t="s">
        <v>453</v>
      </c>
      <c r="I38" s="32" t="s">
        <v>6</v>
      </c>
    </row>
    <row r="39" spans="1:9" ht="18" customHeight="1">
      <c r="A39" s="20" t="str">
        <f t="shared" si="0"/>
        <v>CABO VÃO BAIXO PERIGOSO</v>
      </c>
      <c r="B39" s="28" t="s">
        <v>726</v>
      </c>
      <c r="C39" s="29" t="s">
        <v>478</v>
      </c>
      <c r="D39" s="29" t="s">
        <v>479</v>
      </c>
      <c r="E39" s="29" t="s">
        <v>483</v>
      </c>
      <c r="F39" s="30" t="s">
        <v>482</v>
      </c>
      <c r="G39" s="30" t="s">
        <v>461</v>
      </c>
      <c r="H39" s="31" t="s">
        <v>453</v>
      </c>
      <c r="I39" s="32" t="s">
        <v>8</v>
      </c>
    </row>
    <row r="40" spans="1:9" ht="18" customHeight="1">
      <c r="A40" s="20" t="str">
        <f t="shared" si="0"/>
        <v>CABO C/ CORPOS ESTRANHOS</v>
      </c>
      <c r="B40" s="28" t="s">
        <v>727</v>
      </c>
      <c r="C40" s="29" t="s">
        <v>478</v>
      </c>
      <c r="D40" s="29" t="s">
        <v>479</v>
      </c>
      <c r="E40" s="29" t="s">
        <v>625</v>
      </c>
      <c r="F40" s="30" t="s">
        <v>484</v>
      </c>
      <c r="G40" s="30" t="s">
        <v>461</v>
      </c>
      <c r="H40" s="31" t="s">
        <v>453</v>
      </c>
      <c r="I40" s="32" t="s">
        <v>7</v>
      </c>
    </row>
    <row r="41" spans="1:9" ht="18" customHeight="1">
      <c r="A41" s="20" t="str">
        <f t="shared" si="0"/>
        <v>CONEXÃO AMPACT ∆T &lt; 45° C</v>
      </c>
      <c r="B41" s="28" t="s">
        <v>728</v>
      </c>
      <c r="C41" s="29" t="s">
        <v>478</v>
      </c>
      <c r="D41" s="29" t="s">
        <v>15</v>
      </c>
      <c r="E41" s="29" t="s">
        <v>494</v>
      </c>
      <c r="F41" s="30" t="s">
        <v>694</v>
      </c>
      <c r="G41" s="30" t="s">
        <v>461</v>
      </c>
      <c r="H41" s="31" t="s">
        <v>453</v>
      </c>
      <c r="I41" s="32" t="s">
        <v>6</v>
      </c>
    </row>
    <row r="42" spans="1:9" ht="18" customHeight="1">
      <c r="A42" s="20" t="str">
        <f t="shared" si="0"/>
        <v>CONEXÃO AMPACT 45° C ≤ ∆T &lt; 55° C</v>
      </c>
      <c r="B42" s="28" t="s">
        <v>729</v>
      </c>
      <c r="C42" s="29" t="s">
        <v>478</v>
      </c>
      <c r="D42" s="29" t="s">
        <v>15</v>
      </c>
      <c r="E42" s="29" t="s">
        <v>496</v>
      </c>
      <c r="F42" s="30" t="s">
        <v>495</v>
      </c>
      <c r="G42" s="30" t="s">
        <v>461</v>
      </c>
      <c r="H42" s="31" t="s">
        <v>453</v>
      </c>
      <c r="I42" s="32" t="s">
        <v>7</v>
      </c>
    </row>
    <row r="43" spans="1:9" ht="18" customHeight="1">
      <c r="A43" s="20" t="str">
        <f t="shared" si="0"/>
        <v>CONEXÃO AMPACT ∆T ≥ 55° C</v>
      </c>
      <c r="B43" s="28" t="s">
        <v>730</v>
      </c>
      <c r="C43" s="29" t="s">
        <v>478</v>
      </c>
      <c r="D43" s="29" t="s">
        <v>15</v>
      </c>
      <c r="E43" s="29" t="s">
        <v>497</v>
      </c>
      <c r="F43" s="30" t="s">
        <v>495</v>
      </c>
      <c r="G43" s="30" t="s">
        <v>461</v>
      </c>
      <c r="H43" s="31" t="s">
        <v>453</v>
      </c>
      <c r="I43" s="32" t="s">
        <v>8</v>
      </c>
    </row>
    <row r="44" spans="1:9" ht="18" customHeight="1">
      <c r="A44" s="20" t="str">
        <f t="shared" si="0"/>
        <v>EMENDA C/ PONTO QUENTE ∆T &lt; 45° C</v>
      </c>
      <c r="B44" s="28" t="s">
        <v>731</v>
      </c>
      <c r="C44" s="29" t="s">
        <v>478</v>
      </c>
      <c r="D44" s="29" t="s">
        <v>17</v>
      </c>
      <c r="E44" s="29" t="s">
        <v>628</v>
      </c>
      <c r="F44" s="30" t="s">
        <v>694</v>
      </c>
      <c r="G44" s="30" t="s">
        <v>461</v>
      </c>
      <c r="H44" s="31" t="s">
        <v>453</v>
      </c>
      <c r="I44" s="32" t="s">
        <v>6</v>
      </c>
    </row>
    <row r="45" spans="1:9" ht="18" customHeight="1">
      <c r="A45" s="20" t="str">
        <f t="shared" si="0"/>
        <v>EMENDA C/ PONTO QUENTE ∆T ≥ 55° C</v>
      </c>
      <c r="B45" s="28" t="s">
        <v>732</v>
      </c>
      <c r="C45" s="29" t="s">
        <v>478</v>
      </c>
      <c r="D45" s="29" t="s">
        <v>17</v>
      </c>
      <c r="E45" s="29" t="s">
        <v>629</v>
      </c>
      <c r="F45" s="30" t="s">
        <v>495</v>
      </c>
      <c r="G45" s="30" t="s">
        <v>461</v>
      </c>
      <c r="H45" s="31" t="s">
        <v>453</v>
      </c>
      <c r="I45" s="32" t="s">
        <v>8</v>
      </c>
    </row>
    <row r="46" spans="1:9" ht="18" customHeight="1">
      <c r="A46" s="20" t="str">
        <f t="shared" si="0"/>
        <v>EMENDA C/ PONTO QUENTE 45° C ≤ ∆T &lt; 55° C</v>
      </c>
      <c r="B46" s="28" t="s">
        <v>733</v>
      </c>
      <c r="C46" s="29" t="s">
        <v>478</v>
      </c>
      <c r="D46" s="29" t="s">
        <v>17</v>
      </c>
      <c r="E46" s="29" t="s">
        <v>627</v>
      </c>
      <c r="F46" s="30" t="s">
        <v>495</v>
      </c>
      <c r="G46" s="30" t="s">
        <v>461</v>
      </c>
      <c r="H46" s="31" t="s">
        <v>453</v>
      </c>
      <c r="I46" s="32" t="s">
        <v>7</v>
      </c>
    </row>
    <row r="47" spans="1:9" ht="18" customHeight="1">
      <c r="A47" s="20" t="str">
        <f t="shared" si="0"/>
        <v>EMENDA PREFORMADA ∆T &lt; 45° C</v>
      </c>
      <c r="B47" s="28" t="s">
        <v>734</v>
      </c>
      <c r="C47" s="29" t="s">
        <v>478</v>
      </c>
      <c r="D47" s="29" t="s">
        <v>17</v>
      </c>
      <c r="E47" s="29" t="s">
        <v>498</v>
      </c>
      <c r="F47" s="30" t="s">
        <v>694</v>
      </c>
      <c r="G47" s="30" t="s">
        <v>461</v>
      </c>
      <c r="H47" s="31" t="s">
        <v>453</v>
      </c>
      <c r="I47" s="32" t="s">
        <v>6</v>
      </c>
    </row>
    <row r="48" spans="1:9" ht="18" customHeight="1">
      <c r="A48" s="20" t="str">
        <f t="shared" si="0"/>
        <v>EMENDA PREFORMADA ∆T ≥ 55° C</v>
      </c>
      <c r="B48" s="28" t="s">
        <v>735</v>
      </c>
      <c r="C48" s="29" t="s">
        <v>478</v>
      </c>
      <c r="D48" s="29" t="s">
        <v>17</v>
      </c>
      <c r="E48" s="29" t="s">
        <v>500</v>
      </c>
      <c r="F48" s="30" t="s">
        <v>495</v>
      </c>
      <c r="G48" s="30" t="s">
        <v>461</v>
      </c>
      <c r="H48" s="31" t="s">
        <v>453</v>
      </c>
      <c r="I48" s="32" t="s">
        <v>8</v>
      </c>
    </row>
    <row r="49" spans="1:9" ht="18" customHeight="1">
      <c r="A49" s="20" t="str">
        <f t="shared" si="0"/>
        <v>EMENDA PREFORMADA 45° C ≤ ∆T &lt; 55° C</v>
      </c>
      <c r="B49" s="28" t="s">
        <v>736</v>
      </c>
      <c r="C49" s="29" t="s">
        <v>478</v>
      </c>
      <c r="D49" s="29" t="s">
        <v>17</v>
      </c>
      <c r="E49" s="29" t="s">
        <v>499</v>
      </c>
      <c r="F49" s="30" t="s">
        <v>495</v>
      </c>
      <c r="G49" s="30" t="s">
        <v>461</v>
      </c>
      <c r="H49" s="31" t="s">
        <v>453</v>
      </c>
      <c r="I49" s="32" t="s">
        <v>7</v>
      </c>
    </row>
    <row r="50" spans="1:9" ht="18" customHeight="1">
      <c r="A50" s="20" t="str">
        <f t="shared" si="0"/>
        <v>CONECTOR DO JUMPER OXIDADOS F1/F2</v>
      </c>
      <c r="B50" s="28" t="s">
        <v>737</v>
      </c>
      <c r="C50" s="29" t="s">
        <v>478</v>
      </c>
      <c r="D50" s="29" t="s">
        <v>18</v>
      </c>
      <c r="E50" s="29" t="s">
        <v>633</v>
      </c>
      <c r="F50" s="30" t="s">
        <v>486</v>
      </c>
      <c r="G50" s="30" t="s">
        <v>461</v>
      </c>
      <c r="H50" s="31" t="s">
        <v>453</v>
      </c>
      <c r="I50" s="32" t="s">
        <v>6</v>
      </c>
    </row>
    <row r="51" spans="1:9" ht="18" customHeight="1">
      <c r="A51" s="20" t="str">
        <f t="shared" si="0"/>
        <v>CONECTOR DO JUMPER OXIDADO F3</v>
      </c>
      <c r="B51" s="28" t="s">
        <v>738</v>
      </c>
      <c r="C51" s="29" t="s">
        <v>478</v>
      </c>
      <c r="D51" s="29" t="s">
        <v>18</v>
      </c>
      <c r="E51" s="29" t="s">
        <v>489</v>
      </c>
      <c r="F51" s="30" t="s">
        <v>486</v>
      </c>
      <c r="G51" s="30" t="s">
        <v>461</v>
      </c>
      <c r="H51" s="31" t="s">
        <v>453</v>
      </c>
      <c r="I51" s="32" t="s">
        <v>7</v>
      </c>
    </row>
    <row r="52" spans="1:9" ht="18" customHeight="1">
      <c r="A52" s="20" t="str">
        <f t="shared" si="0"/>
        <v>CONECTOR DO JUMPER OXIDADO F4/F5</v>
      </c>
      <c r="B52" s="28" t="s">
        <v>739</v>
      </c>
      <c r="C52" s="29" t="s">
        <v>478</v>
      </c>
      <c r="D52" s="29" t="s">
        <v>18</v>
      </c>
      <c r="E52" s="29" t="s">
        <v>634</v>
      </c>
      <c r="F52" s="30" t="s">
        <v>486</v>
      </c>
      <c r="G52" s="30" t="s">
        <v>461</v>
      </c>
      <c r="H52" s="31" t="s">
        <v>453</v>
      </c>
      <c r="I52" s="32" t="s">
        <v>8</v>
      </c>
    </row>
    <row r="53" spans="1:9" ht="18" customHeight="1">
      <c r="A53" s="20" t="str">
        <f t="shared" si="0"/>
        <v>CONECTOR INADEQUADO NO JUMPER</v>
      </c>
      <c r="B53" s="28" t="s">
        <v>689</v>
      </c>
      <c r="C53" s="29" t="s">
        <v>478</v>
      </c>
      <c r="D53" s="29" t="s">
        <v>18</v>
      </c>
      <c r="E53" s="29" t="s">
        <v>485</v>
      </c>
      <c r="F53" s="30" t="s">
        <v>486</v>
      </c>
      <c r="G53" s="30" t="s">
        <v>461</v>
      </c>
      <c r="H53" s="31" t="s">
        <v>453</v>
      </c>
      <c r="I53" s="32" t="s">
        <v>7</v>
      </c>
    </row>
    <row r="54" spans="1:9" ht="18" customHeight="1">
      <c r="A54" s="20" t="str">
        <f t="shared" si="0"/>
        <v>JUMPER DANIFICADO</v>
      </c>
      <c r="B54" s="28" t="s">
        <v>690</v>
      </c>
      <c r="C54" s="29" t="s">
        <v>478</v>
      </c>
      <c r="D54" s="29" t="s">
        <v>18</v>
      </c>
      <c r="E54" s="29" t="s">
        <v>487</v>
      </c>
      <c r="F54" s="30" t="s">
        <v>488</v>
      </c>
      <c r="G54" s="30" t="s">
        <v>461</v>
      </c>
      <c r="H54" s="31" t="s">
        <v>453</v>
      </c>
      <c r="I54" s="32" t="s">
        <v>7</v>
      </c>
    </row>
    <row r="55" spans="1:9" ht="18" customHeight="1">
      <c r="A55" s="20" t="str">
        <f t="shared" si="0"/>
        <v>JUMPER CURTO</v>
      </c>
      <c r="B55" s="28" t="s">
        <v>691</v>
      </c>
      <c r="C55" s="29" t="s">
        <v>478</v>
      </c>
      <c r="D55" s="29" t="s">
        <v>18</v>
      </c>
      <c r="E55" s="29" t="s">
        <v>492</v>
      </c>
      <c r="F55" s="30" t="s">
        <v>493</v>
      </c>
      <c r="G55" s="30" t="s">
        <v>461</v>
      </c>
      <c r="H55" s="31" t="s">
        <v>453</v>
      </c>
      <c r="I55" s="32" t="s">
        <v>6</v>
      </c>
    </row>
    <row r="56" spans="1:9" ht="18" customHeight="1">
      <c r="A56" s="20" t="str">
        <f t="shared" si="0"/>
        <v xml:space="preserve">JUMPER LONGO </v>
      </c>
      <c r="B56" s="28" t="s">
        <v>692</v>
      </c>
      <c r="C56" s="29" t="s">
        <v>478</v>
      </c>
      <c r="D56" s="29" t="s">
        <v>18</v>
      </c>
      <c r="E56" s="29" t="s">
        <v>490</v>
      </c>
      <c r="F56" s="30" t="s">
        <v>491</v>
      </c>
      <c r="G56" s="30" t="s">
        <v>461</v>
      </c>
      <c r="H56" s="31" t="s">
        <v>453</v>
      </c>
      <c r="I56" s="32" t="s">
        <v>6</v>
      </c>
    </row>
    <row r="57" spans="1:9" ht="18" customHeight="1">
      <c r="A57" s="20" t="str">
        <f t="shared" si="0"/>
        <v>ANEL C/ FERRAGEM EXPOSTA F1/F2</v>
      </c>
      <c r="B57" s="28" t="s">
        <v>740</v>
      </c>
      <c r="C57" s="29" t="s">
        <v>403</v>
      </c>
      <c r="D57" s="29" t="s">
        <v>1179</v>
      </c>
      <c r="E57" s="29" t="s">
        <v>631</v>
      </c>
      <c r="F57" s="30" t="s">
        <v>635</v>
      </c>
      <c r="G57" s="30" t="s">
        <v>452</v>
      </c>
      <c r="H57" s="31" t="s">
        <v>470</v>
      </c>
      <c r="I57" s="32" t="s">
        <v>6</v>
      </c>
    </row>
    <row r="58" spans="1:9" ht="18" customHeight="1">
      <c r="A58" s="20" t="str">
        <f t="shared" si="0"/>
        <v>ANEL C/ FERRAGEM EXPOSTA - F3</v>
      </c>
      <c r="B58" s="28" t="s">
        <v>743</v>
      </c>
      <c r="C58" s="29" t="s">
        <v>403</v>
      </c>
      <c r="D58" s="29" t="s">
        <v>1179</v>
      </c>
      <c r="E58" s="29" t="s">
        <v>630</v>
      </c>
      <c r="F58" s="30" t="s">
        <v>524</v>
      </c>
      <c r="G58" s="30" t="s">
        <v>452</v>
      </c>
      <c r="H58" s="31" t="s">
        <v>470</v>
      </c>
      <c r="I58" s="32" t="s">
        <v>7</v>
      </c>
    </row>
    <row r="59" spans="1:9" ht="18" customHeight="1">
      <c r="A59" s="20" t="str">
        <f t="shared" si="0"/>
        <v>ANEL C/ FERRAGEM EXPOSTA F4/ F5</v>
      </c>
      <c r="B59" s="28" t="s">
        <v>744</v>
      </c>
      <c r="C59" s="29" t="s">
        <v>403</v>
      </c>
      <c r="D59" s="29" t="s">
        <v>1179</v>
      </c>
      <c r="E59" s="29" t="s">
        <v>632</v>
      </c>
      <c r="F59" s="30" t="s">
        <v>524</v>
      </c>
      <c r="G59" s="30" t="s">
        <v>452</v>
      </c>
      <c r="H59" s="31" t="s">
        <v>470</v>
      </c>
      <c r="I59" s="32" t="s">
        <v>8</v>
      </c>
    </row>
    <row r="60" spans="1:9" ht="18" customHeight="1">
      <c r="A60" s="20" t="str">
        <f t="shared" si="0"/>
        <v>CRUZETA COMPROMETIDA-PERIGOSO</v>
      </c>
      <c r="B60" s="28" t="s">
        <v>742</v>
      </c>
      <c r="C60" s="29" t="s">
        <v>403</v>
      </c>
      <c r="D60" s="29" t="s">
        <v>518</v>
      </c>
      <c r="E60" s="29" t="s">
        <v>636</v>
      </c>
      <c r="F60" s="30" t="s">
        <v>521</v>
      </c>
      <c r="G60" s="30" t="s">
        <v>452</v>
      </c>
      <c r="H60" s="31" t="s">
        <v>470</v>
      </c>
      <c r="I60" s="32" t="s">
        <v>8</v>
      </c>
    </row>
    <row r="61" spans="1:9" ht="18" customHeight="1">
      <c r="A61" s="20" t="str">
        <f t="shared" si="0"/>
        <v>CRUZETA DE MADEIRA</v>
      </c>
      <c r="B61" s="28" t="s">
        <v>745</v>
      </c>
      <c r="C61" s="29" t="s">
        <v>403</v>
      </c>
      <c r="D61" s="29" t="s">
        <v>518</v>
      </c>
      <c r="E61" s="29" t="s">
        <v>419</v>
      </c>
      <c r="F61" s="30" t="s">
        <v>523</v>
      </c>
      <c r="G61" s="30" t="s">
        <v>452</v>
      </c>
      <c r="H61" s="31" t="s">
        <v>470</v>
      </c>
      <c r="I61" s="32" t="s">
        <v>7</v>
      </c>
    </row>
    <row r="62" spans="1:9" ht="18" customHeight="1">
      <c r="A62" s="20" t="str">
        <f t="shared" si="0"/>
        <v>CRUZETA DE MADEIRA DANIFICADA</v>
      </c>
      <c r="B62" s="28" t="s">
        <v>746</v>
      </c>
      <c r="C62" s="29" t="s">
        <v>403</v>
      </c>
      <c r="D62" s="29" t="s">
        <v>518</v>
      </c>
      <c r="E62" s="29" t="s">
        <v>420</v>
      </c>
      <c r="F62" s="30" t="s">
        <v>521</v>
      </c>
      <c r="G62" s="30" t="s">
        <v>452</v>
      </c>
      <c r="H62" s="31" t="s">
        <v>470</v>
      </c>
      <c r="I62" s="32" t="s">
        <v>8</v>
      </c>
    </row>
    <row r="63" spans="1:9" ht="18" customHeight="1">
      <c r="A63" s="20" t="str">
        <f t="shared" si="0"/>
        <v>CRUZETA FERRAGEM EXPOSTA F1/F2</v>
      </c>
      <c r="B63" s="28" t="s">
        <v>747</v>
      </c>
      <c r="C63" s="29" t="s">
        <v>403</v>
      </c>
      <c r="D63" s="29" t="s">
        <v>518</v>
      </c>
      <c r="E63" s="29" t="s">
        <v>637</v>
      </c>
      <c r="F63" s="30" t="s">
        <v>519</v>
      </c>
      <c r="G63" s="30" t="s">
        <v>452</v>
      </c>
      <c r="H63" s="31" t="s">
        <v>470</v>
      </c>
      <c r="I63" s="32" t="s">
        <v>6</v>
      </c>
    </row>
    <row r="64" spans="1:9" ht="18" customHeight="1">
      <c r="A64" s="20" t="str">
        <f t="shared" si="0"/>
        <v>CRUZETA FERRAGEM EXPOSTA F3</v>
      </c>
      <c r="B64" s="28" t="s">
        <v>748</v>
      </c>
      <c r="C64" s="29" t="s">
        <v>403</v>
      </c>
      <c r="D64" s="29" t="s">
        <v>518</v>
      </c>
      <c r="E64" s="29" t="s">
        <v>520</v>
      </c>
      <c r="F64" s="30" t="s">
        <v>521</v>
      </c>
      <c r="G64" s="30" t="s">
        <v>452</v>
      </c>
      <c r="H64" s="31" t="s">
        <v>470</v>
      </c>
      <c r="I64" s="32" t="s">
        <v>7</v>
      </c>
    </row>
    <row r="65" spans="1:9" ht="18" customHeight="1">
      <c r="A65" s="20" t="str">
        <f t="shared" si="0"/>
        <v>CRUZETA FERRAGEM EXPOSTA F4/F5</v>
      </c>
      <c r="B65" s="28" t="s">
        <v>749</v>
      </c>
      <c r="C65" s="29" t="s">
        <v>403</v>
      </c>
      <c r="D65" s="29" t="s">
        <v>518</v>
      </c>
      <c r="E65" s="29" t="s">
        <v>522</v>
      </c>
      <c r="F65" s="30" t="s">
        <v>521</v>
      </c>
      <c r="G65" s="30" t="s">
        <v>452</v>
      </c>
      <c r="H65" s="31" t="s">
        <v>470</v>
      </c>
      <c r="I65" s="32" t="s">
        <v>8</v>
      </c>
    </row>
    <row r="66" spans="1:9" ht="18" customHeight="1">
      <c r="A66" s="20" t="str">
        <f t="shared" si="0"/>
        <v>CRUZETA TRINCADA</v>
      </c>
      <c r="B66" s="28" t="s">
        <v>750</v>
      </c>
      <c r="C66" s="29" t="s">
        <v>403</v>
      </c>
      <c r="D66" s="29" t="s">
        <v>518</v>
      </c>
      <c r="E66" s="29" t="s">
        <v>418</v>
      </c>
      <c r="F66" s="30" t="s">
        <v>523</v>
      </c>
      <c r="G66" s="30" t="s">
        <v>452</v>
      </c>
      <c r="H66" s="31" t="s">
        <v>470</v>
      </c>
      <c r="I66" s="32" t="s">
        <v>6</v>
      </c>
    </row>
    <row r="67" spans="1:9" ht="18" customHeight="1">
      <c r="A67" s="20" t="str">
        <f t="shared" si="0"/>
        <v>CRUZETA FORTEMENTE TRINCADA</v>
      </c>
      <c r="B67" s="28" t="s">
        <v>751</v>
      </c>
      <c r="C67" s="29" t="s">
        <v>403</v>
      </c>
      <c r="D67" s="29" t="s">
        <v>518</v>
      </c>
      <c r="E67" s="29" t="s">
        <v>417</v>
      </c>
      <c r="F67" s="30" t="s">
        <v>521</v>
      </c>
      <c r="G67" s="30" t="s">
        <v>452</v>
      </c>
      <c r="H67" s="31" t="s">
        <v>470</v>
      </c>
      <c r="I67" s="32" t="s">
        <v>7</v>
      </c>
    </row>
    <row r="68" spans="1:9" ht="18" customHeight="1">
      <c r="A68" s="20" t="str">
        <f t="shared" si="0"/>
        <v>PARAFUSO  "U" OXIDADO  F1/F2</v>
      </c>
      <c r="B68" s="28" t="s">
        <v>752</v>
      </c>
      <c r="C68" s="29" t="s">
        <v>403</v>
      </c>
      <c r="D68" s="29" t="s">
        <v>518</v>
      </c>
      <c r="E68" s="29" t="s">
        <v>638</v>
      </c>
      <c r="F68" s="30" t="s">
        <v>477</v>
      </c>
      <c r="G68" s="30" t="s">
        <v>461</v>
      </c>
      <c r="H68" s="31" t="s">
        <v>470</v>
      </c>
      <c r="I68" s="32" t="s">
        <v>6</v>
      </c>
    </row>
    <row r="69" spans="1:9" ht="18" customHeight="1">
      <c r="A69" s="20" t="str">
        <f t="shared" ref="A69:A82" si="1">E69</f>
        <v>PARAFUSO  "U" OXIDADO  F3</v>
      </c>
      <c r="B69" s="28" t="s">
        <v>753</v>
      </c>
      <c r="C69" s="29" t="s">
        <v>403</v>
      </c>
      <c r="D69" s="29" t="s">
        <v>518</v>
      </c>
      <c r="E69" s="29" t="s">
        <v>1400</v>
      </c>
      <c r="F69" s="30" t="s">
        <v>477</v>
      </c>
      <c r="G69" s="30" t="s">
        <v>461</v>
      </c>
      <c r="H69" s="31" t="s">
        <v>470</v>
      </c>
      <c r="I69" s="32" t="s">
        <v>7</v>
      </c>
    </row>
    <row r="70" spans="1:9" ht="18" customHeight="1">
      <c r="A70" s="20" t="str">
        <f t="shared" si="1"/>
        <v>PARAFUSO  "U" OXIDADO  F4/F5</v>
      </c>
      <c r="B70" s="28" t="s">
        <v>741</v>
      </c>
      <c r="C70" s="29" t="s">
        <v>403</v>
      </c>
      <c r="D70" s="29" t="s">
        <v>518</v>
      </c>
      <c r="E70" s="59" t="s">
        <v>1399</v>
      </c>
      <c r="F70" s="30" t="s">
        <v>477</v>
      </c>
      <c r="G70" s="30" t="s">
        <v>461</v>
      </c>
      <c r="H70" s="31" t="s">
        <v>470</v>
      </c>
      <c r="I70" s="32" t="s">
        <v>8</v>
      </c>
    </row>
    <row r="71" spans="1:9" ht="18" customHeight="1">
      <c r="A71" s="20" t="str">
        <f t="shared" si="1"/>
        <v>CRUZETA METÁLICA EXPOSTA F1/F2</v>
      </c>
      <c r="B71" s="28" t="s">
        <v>1405</v>
      </c>
      <c r="C71" s="29" t="s">
        <v>403</v>
      </c>
      <c r="D71" s="29" t="s">
        <v>518</v>
      </c>
      <c r="E71" s="59" t="s">
        <v>1406</v>
      </c>
      <c r="F71" s="30" t="s">
        <v>519</v>
      </c>
      <c r="G71" s="30" t="s">
        <v>461</v>
      </c>
      <c r="H71" s="31" t="s">
        <v>470</v>
      </c>
      <c r="I71" s="32" t="s">
        <v>6</v>
      </c>
    </row>
    <row r="72" spans="1:9" ht="18" customHeight="1">
      <c r="A72" s="20" t="str">
        <f t="shared" si="1"/>
        <v>CRUZETA METÁLICA EXPOSTA F3</v>
      </c>
      <c r="B72" s="28" t="s">
        <v>1407</v>
      </c>
      <c r="C72" s="29" t="s">
        <v>403</v>
      </c>
      <c r="D72" s="29" t="s">
        <v>518</v>
      </c>
      <c r="E72" s="59" t="s">
        <v>1408</v>
      </c>
      <c r="F72" s="30" t="s">
        <v>521</v>
      </c>
      <c r="G72" s="30" t="s">
        <v>461</v>
      </c>
      <c r="H72" s="31" t="s">
        <v>470</v>
      </c>
      <c r="I72" s="32" t="s">
        <v>7</v>
      </c>
    </row>
    <row r="73" spans="1:9" ht="18" customHeight="1">
      <c r="A73" s="20" t="str">
        <f t="shared" si="1"/>
        <v>CRUZETA METÁLICA EXPOSTA F4/F5</v>
      </c>
      <c r="B73" s="28" t="s">
        <v>1409</v>
      </c>
      <c r="C73" s="29" t="s">
        <v>403</v>
      </c>
      <c r="D73" s="29" t="s">
        <v>518</v>
      </c>
      <c r="E73" s="59" t="s">
        <v>1410</v>
      </c>
      <c r="F73" s="30" t="s">
        <v>521</v>
      </c>
      <c r="G73" s="30" t="s">
        <v>461</v>
      </c>
      <c r="H73" s="31" t="s">
        <v>470</v>
      </c>
      <c r="I73" s="32" t="s">
        <v>8</v>
      </c>
    </row>
    <row r="74" spans="1:9" ht="18" customHeight="1">
      <c r="A74" s="20" t="str">
        <f t="shared" si="1"/>
        <v xml:space="preserve">ESTAI FOLGADO </v>
      </c>
      <c r="B74" s="28" t="s">
        <v>754</v>
      </c>
      <c r="C74" s="29" t="s">
        <v>403</v>
      </c>
      <c r="D74" s="29" t="s">
        <v>19</v>
      </c>
      <c r="E74" s="29" t="s">
        <v>513</v>
      </c>
      <c r="F74" s="30" t="s">
        <v>514</v>
      </c>
      <c r="G74" s="30" t="s">
        <v>452</v>
      </c>
      <c r="H74" s="31" t="s">
        <v>453</v>
      </c>
      <c r="I74" s="32" t="s">
        <v>6</v>
      </c>
    </row>
    <row r="75" spans="1:9" ht="18" customHeight="1">
      <c r="A75" s="20" t="str">
        <f t="shared" si="1"/>
        <v>ESTAI INEXISTENTE</v>
      </c>
      <c r="B75" s="28" t="s">
        <v>755</v>
      </c>
      <c r="C75" s="29" t="s">
        <v>403</v>
      </c>
      <c r="D75" s="29" t="s">
        <v>19</v>
      </c>
      <c r="E75" s="29" t="s">
        <v>511</v>
      </c>
      <c r="F75" s="30" t="s">
        <v>512</v>
      </c>
      <c r="G75" s="30" t="s">
        <v>452</v>
      </c>
      <c r="H75" s="31" t="s">
        <v>453</v>
      </c>
      <c r="I75" s="32" t="s">
        <v>7</v>
      </c>
    </row>
    <row r="76" spans="1:9" ht="18" customHeight="1">
      <c r="A76" s="20" t="str">
        <f t="shared" si="1"/>
        <v>ESTAI ROMPIDO</v>
      </c>
      <c r="B76" s="28" t="s">
        <v>756</v>
      </c>
      <c r="C76" s="29" t="s">
        <v>403</v>
      </c>
      <c r="D76" s="29" t="s">
        <v>19</v>
      </c>
      <c r="E76" s="29" t="s">
        <v>442</v>
      </c>
      <c r="F76" s="30" t="s">
        <v>515</v>
      </c>
      <c r="G76" s="30" t="s">
        <v>452</v>
      </c>
      <c r="H76" s="31" t="s">
        <v>453</v>
      </c>
      <c r="I76" s="32" t="s">
        <v>8</v>
      </c>
    </row>
    <row r="77" spans="1:9" ht="18" customHeight="1">
      <c r="A77" s="20" t="str">
        <f t="shared" si="1"/>
        <v>Nº INEXISTENTE/INELEGÍVEL DA ESTR.</v>
      </c>
      <c r="B77" s="28" t="s">
        <v>757</v>
      </c>
      <c r="C77" s="29" t="s">
        <v>403</v>
      </c>
      <c r="D77" s="29" t="s">
        <v>2</v>
      </c>
      <c r="E77" s="29" t="s">
        <v>505</v>
      </c>
      <c r="F77" s="30" t="s">
        <v>506</v>
      </c>
      <c r="G77" s="30" t="s">
        <v>452</v>
      </c>
      <c r="H77" s="31" t="s">
        <v>453</v>
      </c>
      <c r="I77" s="32" t="s">
        <v>6</v>
      </c>
    </row>
    <row r="78" spans="1:9" ht="18" customHeight="1">
      <c r="A78" s="20" t="str">
        <f t="shared" si="1"/>
        <v>POSTE C/ CASA DE ABELHAS / MARIBONDOS</v>
      </c>
      <c r="B78" s="28" t="s">
        <v>758</v>
      </c>
      <c r="C78" s="29" t="s">
        <v>403</v>
      </c>
      <c r="D78" s="29" t="s">
        <v>2</v>
      </c>
      <c r="E78" s="29" t="s">
        <v>639</v>
      </c>
      <c r="F78" s="30" t="s">
        <v>510</v>
      </c>
      <c r="G78" s="30" t="s">
        <v>461</v>
      </c>
      <c r="H78" s="31" t="s">
        <v>453</v>
      </c>
      <c r="I78" s="32" t="s">
        <v>6</v>
      </c>
    </row>
    <row r="79" spans="1:9" ht="18" customHeight="1">
      <c r="A79" s="20" t="str">
        <f t="shared" si="1"/>
        <v>POSTE C/ CASA DE CUPINS</v>
      </c>
      <c r="B79" s="28" t="s">
        <v>759</v>
      </c>
      <c r="C79" s="29" t="s">
        <v>403</v>
      </c>
      <c r="D79" s="29" t="s">
        <v>2</v>
      </c>
      <c r="E79" s="29" t="s">
        <v>640</v>
      </c>
      <c r="F79" s="30" t="s">
        <v>510</v>
      </c>
      <c r="G79" s="30" t="s">
        <v>461</v>
      </c>
      <c r="H79" s="31" t="s">
        <v>453</v>
      </c>
      <c r="I79" s="32" t="s">
        <v>6</v>
      </c>
    </row>
    <row r="80" spans="1:9" ht="18" customHeight="1">
      <c r="A80" s="20" t="str">
        <f t="shared" si="1"/>
        <v>POSTE C/ NINHO DE PÁSSARO</v>
      </c>
      <c r="B80" s="28" t="s">
        <v>1416</v>
      </c>
      <c r="C80" s="29" t="s">
        <v>403</v>
      </c>
      <c r="D80" s="29" t="s">
        <v>2</v>
      </c>
      <c r="E80" s="29" t="s">
        <v>1417</v>
      </c>
      <c r="F80" s="30" t="s">
        <v>1418</v>
      </c>
      <c r="G80" s="30"/>
      <c r="H80" s="31"/>
      <c r="I80" s="32" t="s">
        <v>7</v>
      </c>
    </row>
    <row r="81" spans="1:9" ht="18" customHeight="1">
      <c r="A81" s="20" t="str">
        <f t="shared" si="1"/>
        <v>POSTE C/ FERRAGEM EXPOSTA F1/F2</v>
      </c>
      <c r="B81" s="28" t="s">
        <v>760</v>
      </c>
      <c r="C81" s="29" t="s">
        <v>403</v>
      </c>
      <c r="D81" s="29" t="s">
        <v>2</v>
      </c>
      <c r="E81" s="29" t="s">
        <v>641</v>
      </c>
      <c r="F81" s="30" t="s">
        <v>507</v>
      </c>
      <c r="G81" s="30" t="s">
        <v>452</v>
      </c>
      <c r="H81" s="31" t="s">
        <v>453</v>
      </c>
      <c r="I81" s="32" t="s">
        <v>6</v>
      </c>
    </row>
    <row r="82" spans="1:9" ht="18" customHeight="1">
      <c r="A82" s="20" t="str">
        <f t="shared" si="1"/>
        <v>POSTE C/ FERRAGEM EXPOSTA F3</v>
      </c>
      <c r="B82" s="28" t="s">
        <v>761</v>
      </c>
      <c r="C82" s="29" t="s">
        <v>403</v>
      </c>
      <c r="D82" s="29" t="s">
        <v>2</v>
      </c>
      <c r="E82" s="29" t="s">
        <v>1402</v>
      </c>
      <c r="F82" s="30" t="s">
        <v>507</v>
      </c>
      <c r="G82" s="30" t="s">
        <v>452</v>
      </c>
      <c r="H82" s="31" t="s">
        <v>453</v>
      </c>
      <c r="I82" s="32" t="s">
        <v>7</v>
      </c>
    </row>
    <row r="83" spans="1:9" ht="18" customHeight="1">
      <c r="A83" s="20" t="str">
        <f t="shared" ref="A83:A134" si="2">E83</f>
        <v>POSTE C/ FERRAGEM EXPOSTA F4/ F5</v>
      </c>
      <c r="B83" s="28" t="s">
        <v>762</v>
      </c>
      <c r="C83" s="29" t="s">
        <v>403</v>
      </c>
      <c r="D83" s="29" t="s">
        <v>2</v>
      </c>
      <c r="E83" s="59" t="s">
        <v>1401</v>
      </c>
      <c r="F83" s="30" t="s">
        <v>507</v>
      </c>
      <c r="G83" s="30" t="s">
        <v>452</v>
      </c>
      <c r="H83" s="31" t="s">
        <v>453</v>
      </c>
      <c r="I83" s="32" t="s">
        <v>8</v>
      </c>
    </row>
    <row r="84" spans="1:9" ht="18" customHeight="1">
      <c r="A84" s="20" t="str">
        <f t="shared" si="2"/>
        <v>POSTE C/ INCLINAÇÃO LEVE</v>
      </c>
      <c r="B84" s="28" t="s">
        <v>763</v>
      </c>
      <c r="C84" s="29" t="s">
        <v>403</v>
      </c>
      <c r="D84" s="29" t="s">
        <v>2</v>
      </c>
      <c r="E84" s="29" t="s">
        <v>642</v>
      </c>
      <c r="F84" s="30" t="s">
        <v>508</v>
      </c>
      <c r="G84" s="30" t="s">
        <v>461</v>
      </c>
      <c r="H84" s="31" t="s">
        <v>453</v>
      </c>
      <c r="I84" s="32" t="s">
        <v>6</v>
      </c>
    </row>
    <row r="85" spans="1:9" ht="18" customHeight="1">
      <c r="A85" s="20" t="str">
        <f t="shared" si="2"/>
        <v>POSTE C/ INCLINACÃO MÉDIA</v>
      </c>
      <c r="B85" s="28" t="s">
        <v>764</v>
      </c>
      <c r="C85" s="29" t="s">
        <v>403</v>
      </c>
      <c r="D85" s="29" t="s">
        <v>2</v>
      </c>
      <c r="E85" s="29" t="s">
        <v>643</v>
      </c>
      <c r="F85" s="30" t="s">
        <v>509</v>
      </c>
      <c r="G85" s="30" t="s">
        <v>452</v>
      </c>
      <c r="H85" s="31" t="s">
        <v>470</v>
      </c>
      <c r="I85" s="32" t="s">
        <v>7</v>
      </c>
    </row>
    <row r="86" spans="1:9" ht="18" customHeight="1">
      <c r="A86" s="20" t="str">
        <f t="shared" si="2"/>
        <v>POSTE C/ INCLINAÇÃO PERIGOSA</v>
      </c>
      <c r="B86" s="28" t="s">
        <v>765</v>
      </c>
      <c r="C86" s="29" t="s">
        <v>403</v>
      </c>
      <c r="D86" s="29" t="s">
        <v>2</v>
      </c>
      <c r="E86" s="29" t="s">
        <v>644</v>
      </c>
      <c r="F86" s="30" t="s">
        <v>509</v>
      </c>
      <c r="G86" s="30" t="s">
        <v>452</v>
      </c>
      <c r="H86" s="31" t="s">
        <v>470</v>
      </c>
      <c r="I86" s="32" t="s">
        <v>8</v>
      </c>
    </row>
    <row r="87" spans="1:9" ht="18" customHeight="1">
      <c r="A87" s="20" t="str">
        <f t="shared" si="2"/>
        <v>POSTE TRINCADO</v>
      </c>
      <c r="B87" s="28" t="s">
        <v>766</v>
      </c>
      <c r="C87" s="29" t="s">
        <v>403</v>
      </c>
      <c r="D87" s="29" t="s">
        <v>2</v>
      </c>
      <c r="E87" s="29" t="s">
        <v>422</v>
      </c>
      <c r="F87" s="30" t="s">
        <v>469</v>
      </c>
      <c r="G87" s="30" t="s">
        <v>452</v>
      </c>
      <c r="H87" s="31" t="s">
        <v>470</v>
      </c>
      <c r="I87" s="32" t="s">
        <v>6</v>
      </c>
    </row>
    <row r="88" spans="1:9" ht="18" customHeight="1">
      <c r="A88" s="20" t="str">
        <f t="shared" si="2"/>
        <v>POSTE TRICADO-PERIGOSO</v>
      </c>
      <c r="B88" s="28" t="s">
        <v>767</v>
      </c>
      <c r="C88" s="29" t="s">
        <v>403</v>
      </c>
      <c r="D88" s="29" t="s">
        <v>2</v>
      </c>
      <c r="E88" s="29" t="s">
        <v>645</v>
      </c>
      <c r="F88" s="30" t="s">
        <v>469</v>
      </c>
      <c r="G88" s="30" t="s">
        <v>452</v>
      </c>
      <c r="H88" s="31" t="s">
        <v>470</v>
      </c>
      <c r="I88" s="32" t="s">
        <v>8</v>
      </c>
    </row>
    <row r="89" spans="1:9" ht="18" customHeight="1">
      <c r="A89" s="20" t="str">
        <f t="shared" si="2"/>
        <v>POSTE DE MADEIRA</v>
      </c>
      <c r="B89" s="28" t="s">
        <v>768</v>
      </c>
      <c r="C89" s="29" t="s">
        <v>403</v>
      </c>
      <c r="D89" s="29" t="s">
        <v>2</v>
      </c>
      <c r="E89" s="29" t="s">
        <v>421</v>
      </c>
      <c r="F89" s="30" t="s">
        <v>469</v>
      </c>
      <c r="G89" s="30" t="s">
        <v>452</v>
      </c>
      <c r="H89" s="31" t="s">
        <v>470</v>
      </c>
      <c r="I89" s="32" t="s">
        <v>7</v>
      </c>
    </row>
    <row r="90" spans="1:9" ht="18" customHeight="1">
      <c r="A90" s="20" t="str">
        <f t="shared" si="2"/>
        <v>POSTE DE MADEIRA DANIFICADO</v>
      </c>
      <c r="B90" s="28" t="s">
        <v>769</v>
      </c>
      <c r="C90" s="29" t="s">
        <v>403</v>
      </c>
      <c r="D90" s="29" t="s">
        <v>2</v>
      </c>
      <c r="E90" s="57" t="s">
        <v>1396</v>
      </c>
      <c r="F90" s="30" t="s">
        <v>469</v>
      </c>
      <c r="G90" s="30" t="s">
        <v>452</v>
      </c>
      <c r="H90" s="31" t="s">
        <v>470</v>
      </c>
      <c r="I90" s="32" t="s">
        <v>8</v>
      </c>
    </row>
    <row r="91" spans="1:9" ht="18" customHeight="1">
      <c r="A91" s="20" t="str">
        <f t="shared" si="2"/>
        <v>POSTE C/ SINAIS DE DESCARGA ATMOSF.</v>
      </c>
      <c r="B91" s="28" t="s">
        <v>770</v>
      </c>
      <c r="C91" s="29" t="s">
        <v>403</v>
      </c>
      <c r="D91" s="29" t="s">
        <v>2</v>
      </c>
      <c r="E91" s="29" t="s">
        <v>646</v>
      </c>
      <c r="F91" s="30" t="s">
        <v>469</v>
      </c>
      <c r="G91" s="30" t="s">
        <v>452</v>
      </c>
      <c r="H91" s="31" t="s">
        <v>470</v>
      </c>
      <c r="I91" s="32" t="s">
        <v>6</v>
      </c>
    </row>
    <row r="92" spans="1:9" ht="18" customHeight="1">
      <c r="A92" s="20" t="str">
        <f t="shared" si="2"/>
        <v>TORRE - PEÇA INFERIOR DA-FALTA</v>
      </c>
      <c r="B92" s="28" t="s">
        <v>771</v>
      </c>
      <c r="C92" s="29" t="s">
        <v>403</v>
      </c>
      <c r="D92" s="29" t="s">
        <v>443</v>
      </c>
      <c r="E92" s="29" t="s">
        <v>647</v>
      </c>
      <c r="F92" s="30" t="s">
        <v>516</v>
      </c>
      <c r="G92" s="30" t="s">
        <v>461</v>
      </c>
      <c r="H92" s="31" t="s">
        <v>453</v>
      </c>
      <c r="I92" s="32" t="s">
        <v>7</v>
      </c>
    </row>
    <row r="93" spans="1:9" ht="18" customHeight="1">
      <c r="A93" s="20" t="str">
        <f t="shared" si="2"/>
        <v>TORRE-PEÇA INFERIOR-OXIDAÇÃO F1/F2</v>
      </c>
      <c r="B93" s="28" t="s">
        <v>772</v>
      </c>
      <c r="C93" s="29" t="s">
        <v>403</v>
      </c>
      <c r="D93" s="29" t="s">
        <v>443</v>
      </c>
      <c r="E93" s="29" t="s">
        <v>649</v>
      </c>
      <c r="F93" s="30" t="s">
        <v>517</v>
      </c>
      <c r="G93" s="30" t="s">
        <v>461</v>
      </c>
      <c r="H93" s="31" t="s">
        <v>453</v>
      </c>
      <c r="I93" s="32" t="s">
        <v>6</v>
      </c>
    </row>
    <row r="94" spans="1:9" ht="18" customHeight="1">
      <c r="A94" s="20" t="str">
        <f t="shared" si="2"/>
        <v>TORRE-PEÇA INFERIOR-OXIDAÇÃO F3</v>
      </c>
      <c r="B94" s="28" t="s">
        <v>773</v>
      </c>
      <c r="C94" s="29" t="s">
        <v>403</v>
      </c>
      <c r="D94" s="29" t="s">
        <v>443</v>
      </c>
      <c r="E94" s="29" t="s">
        <v>648</v>
      </c>
      <c r="F94" s="30" t="s">
        <v>517</v>
      </c>
      <c r="G94" s="30" t="s">
        <v>461</v>
      </c>
      <c r="H94" s="31" t="s">
        <v>453</v>
      </c>
      <c r="I94" s="32" t="s">
        <v>7</v>
      </c>
    </row>
    <row r="95" spans="1:9" ht="18" customHeight="1">
      <c r="A95" s="20" t="str">
        <f t="shared" si="2"/>
        <v>TORRE-PEÇA INFERIOR-OXIDAÇÃO F4/F5</v>
      </c>
      <c r="B95" s="28" t="s">
        <v>774</v>
      </c>
      <c r="C95" s="29" t="s">
        <v>403</v>
      </c>
      <c r="D95" s="29" t="s">
        <v>443</v>
      </c>
      <c r="E95" s="29" t="s">
        <v>650</v>
      </c>
      <c r="F95" s="30" t="s">
        <v>517</v>
      </c>
      <c r="G95" s="30" t="s">
        <v>461</v>
      </c>
      <c r="H95" s="31" t="s">
        <v>453</v>
      </c>
      <c r="I95" s="32" t="s">
        <v>8</v>
      </c>
    </row>
    <row r="96" spans="1:9" ht="18" customHeight="1">
      <c r="A96" s="20" t="str">
        <f t="shared" si="2"/>
        <v>TORRE-PEÇA INTERMEDIÁRIA-FALTA</v>
      </c>
      <c r="B96" s="28" t="s">
        <v>775</v>
      </c>
      <c r="C96" s="29" t="s">
        <v>403</v>
      </c>
      <c r="D96" s="29" t="s">
        <v>443</v>
      </c>
      <c r="E96" s="29" t="s">
        <v>651</v>
      </c>
      <c r="F96" s="30" t="s">
        <v>516</v>
      </c>
      <c r="G96" s="30" t="s">
        <v>461</v>
      </c>
      <c r="H96" s="31" t="s">
        <v>453</v>
      </c>
      <c r="I96" s="32" t="s">
        <v>7</v>
      </c>
    </row>
    <row r="97" spans="1:9" ht="18" customHeight="1">
      <c r="A97" s="20" t="str">
        <f t="shared" si="2"/>
        <v>TORRE-PEÇA INTERMED.-OXIDAÇÃO F1/F2</v>
      </c>
      <c r="B97" s="28" t="s">
        <v>776</v>
      </c>
      <c r="C97" s="29" t="s">
        <v>403</v>
      </c>
      <c r="D97" s="29" t="s">
        <v>443</v>
      </c>
      <c r="E97" s="29" t="s">
        <v>652</v>
      </c>
      <c r="F97" s="30" t="s">
        <v>517</v>
      </c>
      <c r="G97" s="30" t="s">
        <v>461</v>
      </c>
      <c r="H97" s="31" t="s">
        <v>453</v>
      </c>
      <c r="I97" s="32" t="s">
        <v>6</v>
      </c>
    </row>
    <row r="98" spans="1:9" ht="18" customHeight="1">
      <c r="A98" s="20" t="str">
        <f t="shared" si="2"/>
        <v>TORRE-PEÇA INTERMED.-OXIDAÇÃO F3</v>
      </c>
      <c r="B98" s="28" t="s">
        <v>777</v>
      </c>
      <c r="C98" s="29" t="s">
        <v>403</v>
      </c>
      <c r="D98" s="29" t="s">
        <v>443</v>
      </c>
      <c r="E98" s="29" t="s">
        <v>653</v>
      </c>
      <c r="F98" s="30" t="s">
        <v>517</v>
      </c>
      <c r="G98" s="30" t="s">
        <v>461</v>
      </c>
      <c r="H98" s="31" t="s">
        <v>453</v>
      </c>
      <c r="I98" s="32" t="s">
        <v>7</v>
      </c>
    </row>
    <row r="99" spans="1:9" ht="18" customHeight="1">
      <c r="A99" s="20" t="str">
        <f t="shared" si="2"/>
        <v>TORRE-PEÇA INTERMED.-OXIDAÇÃO F4/F5</v>
      </c>
      <c r="B99" s="28" t="s">
        <v>778</v>
      </c>
      <c r="C99" s="29" t="s">
        <v>403</v>
      </c>
      <c r="D99" s="29" t="s">
        <v>443</v>
      </c>
      <c r="E99" s="29" t="s">
        <v>654</v>
      </c>
      <c r="F99" s="30" t="s">
        <v>517</v>
      </c>
      <c r="G99" s="30" t="s">
        <v>461</v>
      </c>
      <c r="H99" s="31" t="s">
        <v>453</v>
      </c>
      <c r="I99" s="32" t="s">
        <v>8</v>
      </c>
    </row>
    <row r="100" spans="1:9" ht="18" customHeight="1">
      <c r="A100" s="20" t="str">
        <f t="shared" si="2"/>
        <v>TORRE-PEÇA SUPERIOR-FALTA</v>
      </c>
      <c r="B100" s="28" t="s">
        <v>779</v>
      </c>
      <c r="C100" s="29" t="s">
        <v>403</v>
      </c>
      <c r="D100" s="29" t="s">
        <v>443</v>
      </c>
      <c r="E100" s="29" t="s">
        <v>655</v>
      </c>
      <c r="F100" s="30" t="s">
        <v>516</v>
      </c>
      <c r="G100" s="30" t="s">
        <v>461</v>
      </c>
      <c r="H100" s="31" t="s">
        <v>453</v>
      </c>
      <c r="I100" s="32" t="s">
        <v>7</v>
      </c>
    </row>
    <row r="101" spans="1:9" ht="18" customHeight="1">
      <c r="A101" s="20" t="str">
        <f t="shared" si="2"/>
        <v>TORRE-PEÇA SUPERIOR OXIDAÇÃO F1/F2</v>
      </c>
      <c r="B101" s="28" t="s">
        <v>780</v>
      </c>
      <c r="C101" s="29" t="s">
        <v>403</v>
      </c>
      <c r="D101" s="29" t="s">
        <v>443</v>
      </c>
      <c r="E101" s="29" t="s">
        <v>656</v>
      </c>
      <c r="F101" s="30" t="s">
        <v>517</v>
      </c>
      <c r="G101" s="30" t="s">
        <v>461</v>
      </c>
      <c r="H101" s="31" t="s">
        <v>453</v>
      </c>
      <c r="I101" s="32" t="s">
        <v>6</v>
      </c>
    </row>
    <row r="102" spans="1:9" ht="18" customHeight="1">
      <c r="A102" s="20" t="str">
        <f t="shared" si="2"/>
        <v>TORRE-PEÇA SUPERIOR OXIDAÇÃO F3</v>
      </c>
      <c r="B102" s="28" t="s">
        <v>781</v>
      </c>
      <c r="C102" s="29" t="s">
        <v>403</v>
      </c>
      <c r="D102" s="29" t="s">
        <v>443</v>
      </c>
      <c r="E102" s="29" t="s">
        <v>657</v>
      </c>
      <c r="F102" s="30" t="s">
        <v>517</v>
      </c>
      <c r="G102" s="30" t="s">
        <v>461</v>
      </c>
      <c r="H102" s="31" t="s">
        <v>453</v>
      </c>
      <c r="I102" s="32" t="s">
        <v>7</v>
      </c>
    </row>
    <row r="103" spans="1:9" ht="18" customHeight="1">
      <c r="A103" s="20" t="str">
        <f t="shared" si="2"/>
        <v>TORRE-PEÇA SUPERIOR OXIDAÇÃO F4/F5</v>
      </c>
      <c r="B103" s="28" t="s">
        <v>782</v>
      </c>
      <c r="C103" s="29" t="s">
        <v>403</v>
      </c>
      <c r="D103" s="29" t="s">
        <v>443</v>
      </c>
      <c r="E103" s="29" t="s">
        <v>658</v>
      </c>
      <c r="F103" s="30" t="s">
        <v>517</v>
      </c>
      <c r="G103" s="30" t="s">
        <v>461</v>
      </c>
      <c r="H103" s="31" t="s">
        <v>453</v>
      </c>
      <c r="I103" s="32" t="s">
        <v>8</v>
      </c>
    </row>
    <row r="104" spans="1:9" ht="18" customHeight="1">
      <c r="A104" s="20" t="str">
        <f t="shared" si="2"/>
        <v>TORRE DE TELECOMUNICAÇÃO PRÓXIMA A LT</v>
      </c>
      <c r="B104" s="61" t="s">
        <v>1413</v>
      </c>
      <c r="C104" s="62" t="s">
        <v>403</v>
      </c>
      <c r="D104" s="62" t="s">
        <v>443</v>
      </c>
      <c r="E104" s="62" t="s">
        <v>1414</v>
      </c>
      <c r="F104" s="55" t="s">
        <v>1415</v>
      </c>
      <c r="G104" s="55"/>
      <c r="H104" s="63"/>
      <c r="I104" s="64" t="s">
        <v>6</v>
      </c>
    </row>
    <row r="105" spans="1:9" ht="18" customHeight="1">
      <c r="A105" s="20" t="str">
        <f t="shared" si="2"/>
        <v>CANTONEIRA FIXAÇÃO DANIFICADA</v>
      </c>
      <c r="B105" s="28" t="s">
        <v>783</v>
      </c>
      <c r="C105" s="29" t="s">
        <v>407</v>
      </c>
      <c r="D105" s="29" t="s">
        <v>543</v>
      </c>
      <c r="E105" s="29" t="s">
        <v>544</v>
      </c>
      <c r="F105" s="30" t="s">
        <v>545</v>
      </c>
      <c r="G105" s="30" t="s">
        <v>461</v>
      </c>
      <c r="H105" s="31" t="s">
        <v>470</v>
      </c>
      <c r="I105" s="32" t="s">
        <v>7</v>
      </c>
    </row>
    <row r="106" spans="1:9" ht="18" customHeight="1">
      <c r="A106" s="20" t="str">
        <f t="shared" si="2"/>
        <v>CONCHA  OLHAL OXIDAÇÃO F1/F2</v>
      </c>
      <c r="B106" s="28" t="s">
        <v>784</v>
      </c>
      <c r="C106" s="29" t="s">
        <v>407</v>
      </c>
      <c r="D106" s="42" t="s">
        <v>1353</v>
      </c>
      <c r="E106" s="42" t="s">
        <v>1354</v>
      </c>
      <c r="F106" s="54" t="s">
        <v>1390</v>
      </c>
      <c r="G106" s="30" t="s">
        <v>461</v>
      </c>
      <c r="H106" s="31" t="s">
        <v>453</v>
      </c>
      <c r="I106" s="32" t="s">
        <v>6</v>
      </c>
    </row>
    <row r="107" spans="1:9" ht="18" customHeight="1">
      <c r="A107" s="20" t="str">
        <f t="shared" si="2"/>
        <v>CONCHA  OLHAL OXIDAÇÃO F3</v>
      </c>
      <c r="B107" s="28" t="s">
        <v>785</v>
      </c>
      <c r="C107" s="29" t="s">
        <v>407</v>
      </c>
      <c r="D107" s="42" t="s">
        <v>1353</v>
      </c>
      <c r="E107" s="42" t="s">
        <v>1355</v>
      </c>
      <c r="F107" s="54" t="s">
        <v>1391</v>
      </c>
      <c r="G107" s="30" t="s">
        <v>461</v>
      </c>
      <c r="H107" s="31" t="s">
        <v>453</v>
      </c>
      <c r="I107" s="32" t="s">
        <v>7</v>
      </c>
    </row>
    <row r="108" spans="1:9" ht="18" customHeight="1">
      <c r="A108" s="20" t="str">
        <f t="shared" si="2"/>
        <v>CONCHA  OLHAL OXIDAÇÃO F4/F5</v>
      </c>
      <c r="B108" s="28" t="s">
        <v>786</v>
      </c>
      <c r="C108" s="29" t="s">
        <v>407</v>
      </c>
      <c r="D108" s="42" t="s">
        <v>1353</v>
      </c>
      <c r="E108" s="42" t="s">
        <v>1356</v>
      </c>
      <c r="F108" s="54" t="s">
        <v>1391</v>
      </c>
      <c r="G108" s="30" t="s">
        <v>461</v>
      </c>
      <c r="H108" s="31" t="s">
        <v>453</v>
      </c>
      <c r="I108" s="32" t="s">
        <v>8</v>
      </c>
    </row>
    <row r="109" spans="1:9" ht="18" customHeight="1">
      <c r="A109" s="20" t="str">
        <f t="shared" si="2"/>
        <v>PARAFUSO DA CONCHA OXIDADO  F1/F2</v>
      </c>
      <c r="B109" s="28" t="s">
        <v>787</v>
      </c>
      <c r="C109" s="29" t="s">
        <v>407</v>
      </c>
      <c r="D109" s="42" t="s">
        <v>1353</v>
      </c>
      <c r="E109" s="42" t="s">
        <v>1357</v>
      </c>
      <c r="F109" s="54" t="s">
        <v>1392</v>
      </c>
      <c r="G109" s="30" t="s">
        <v>461</v>
      </c>
      <c r="H109" s="31" t="s">
        <v>453</v>
      </c>
      <c r="I109" s="32" t="s">
        <v>6</v>
      </c>
    </row>
    <row r="110" spans="1:9" ht="18" customHeight="1">
      <c r="A110" s="20" t="str">
        <f t="shared" si="2"/>
        <v>PARAFUSO DA CONCHA OXIDADO F3/F4</v>
      </c>
      <c r="B110" s="28" t="s">
        <v>788</v>
      </c>
      <c r="C110" s="29" t="s">
        <v>407</v>
      </c>
      <c r="D110" s="42" t="s">
        <v>1353</v>
      </c>
      <c r="E110" s="42" t="s">
        <v>1358</v>
      </c>
      <c r="F110" s="54" t="s">
        <v>1393</v>
      </c>
      <c r="G110" s="30" t="s">
        <v>461</v>
      </c>
      <c r="H110" s="31" t="s">
        <v>453</v>
      </c>
      <c r="I110" s="32" t="s">
        <v>7</v>
      </c>
    </row>
    <row r="111" spans="1:9" ht="18" customHeight="1">
      <c r="A111" s="20" t="str">
        <f t="shared" si="2"/>
        <v>PARAFUSO DA CONCHA OXIDADO  F5</v>
      </c>
      <c r="B111" s="28" t="s">
        <v>789</v>
      </c>
      <c r="C111" s="29" t="s">
        <v>407</v>
      </c>
      <c r="D111" s="42" t="s">
        <v>1353</v>
      </c>
      <c r="E111" s="42" t="s">
        <v>1359</v>
      </c>
      <c r="F111" s="54" t="s">
        <v>1393</v>
      </c>
      <c r="G111" s="30" t="s">
        <v>461</v>
      </c>
      <c r="H111" s="31" t="s">
        <v>453</v>
      </c>
      <c r="I111" s="32" t="s">
        <v>8</v>
      </c>
    </row>
    <row r="112" spans="1:9" ht="18" customHeight="1">
      <c r="A112" s="20" t="str">
        <f t="shared" si="2"/>
        <v>CONTRAPINO DA CONCHA DESENCAIXADO</v>
      </c>
      <c r="B112" s="43" t="s">
        <v>1360</v>
      </c>
      <c r="C112" s="29" t="s">
        <v>407</v>
      </c>
      <c r="D112" s="42" t="s">
        <v>1353</v>
      </c>
      <c r="E112" s="42" t="s">
        <v>1348</v>
      </c>
      <c r="F112" s="40" t="s">
        <v>1351</v>
      </c>
      <c r="G112" s="30" t="s">
        <v>461</v>
      </c>
      <c r="H112" s="31" t="s">
        <v>453</v>
      </c>
      <c r="I112" s="32" t="s">
        <v>7</v>
      </c>
    </row>
    <row r="113" spans="1:9" ht="18" customHeight="1">
      <c r="A113" s="20" t="str">
        <f t="shared" si="2"/>
        <v>ELO LIGAÇÃO OXIDADO  F1/F2</v>
      </c>
      <c r="B113" s="28" t="s">
        <v>790</v>
      </c>
      <c r="C113" s="29" t="s">
        <v>407</v>
      </c>
      <c r="D113" s="29" t="s">
        <v>525</v>
      </c>
      <c r="E113" s="29" t="s">
        <v>526</v>
      </c>
      <c r="F113" s="30" t="s">
        <v>527</v>
      </c>
      <c r="G113" s="30" t="s">
        <v>461</v>
      </c>
      <c r="H113" s="31" t="s">
        <v>470</v>
      </c>
      <c r="I113" s="32" t="s">
        <v>6</v>
      </c>
    </row>
    <row r="114" spans="1:9" ht="18" customHeight="1">
      <c r="A114" s="20" t="str">
        <f t="shared" si="2"/>
        <v>ELO LIGAÇÃO OXIDADO  F3</v>
      </c>
      <c r="B114" s="28" t="s">
        <v>791</v>
      </c>
      <c r="C114" s="29" t="s">
        <v>407</v>
      </c>
      <c r="D114" s="29" t="s">
        <v>525</v>
      </c>
      <c r="E114" s="29" t="s">
        <v>659</v>
      </c>
      <c r="F114" s="30" t="s">
        <v>527</v>
      </c>
      <c r="G114" s="30" t="s">
        <v>461</v>
      </c>
      <c r="H114" s="31" t="s">
        <v>470</v>
      </c>
      <c r="I114" s="32" t="s">
        <v>7</v>
      </c>
    </row>
    <row r="115" spans="1:9" ht="18" customHeight="1">
      <c r="A115" s="20" t="str">
        <f t="shared" si="2"/>
        <v>ELO LIGAÇÃO OXIDADO  F4/F5</v>
      </c>
      <c r="B115" s="28" t="s">
        <v>792</v>
      </c>
      <c r="C115" s="29" t="s">
        <v>407</v>
      </c>
      <c r="D115" s="29" t="s">
        <v>525</v>
      </c>
      <c r="E115" s="29" t="s">
        <v>660</v>
      </c>
      <c r="F115" s="30" t="s">
        <v>527</v>
      </c>
      <c r="G115" s="30" t="s">
        <v>461</v>
      </c>
      <c r="H115" s="31" t="s">
        <v>470</v>
      </c>
      <c r="I115" s="32" t="s">
        <v>8</v>
      </c>
    </row>
    <row r="116" spans="1:9" ht="18" customHeight="1">
      <c r="A116" s="20" t="str">
        <f t="shared" si="2"/>
        <v>CONTRAPINO DO GRA. ANC. OXIDAÇÃO F1/F2</v>
      </c>
      <c r="B116" s="28" t="s">
        <v>793</v>
      </c>
      <c r="C116" s="29" t="s">
        <v>407</v>
      </c>
      <c r="D116" s="29" t="s">
        <v>665</v>
      </c>
      <c r="E116" s="29" t="s">
        <v>661</v>
      </c>
      <c r="F116" s="30" t="s">
        <v>547</v>
      </c>
      <c r="G116" s="30" t="s">
        <v>461</v>
      </c>
      <c r="H116" s="31" t="s">
        <v>470</v>
      </c>
      <c r="I116" s="32" t="s">
        <v>6</v>
      </c>
    </row>
    <row r="117" spans="1:9" ht="18" customHeight="1">
      <c r="A117" s="20" t="str">
        <f t="shared" si="2"/>
        <v>CONTRAPINO DO GRA. ANC. OXIDAÇÃO F3</v>
      </c>
      <c r="B117" s="28" t="s">
        <v>794</v>
      </c>
      <c r="C117" s="29" t="s">
        <v>407</v>
      </c>
      <c r="D117" s="29" t="s">
        <v>665</v>
      </c>
      <c r="E117" s="29" t="s">
        <v>662</v>
      </c>
      <c r="F117" s="30" t="s">
        <v>546</v>
      </c>
      <c r="G117" s="30" t="s">
        <v>461</v>
      </c>
      <c r="H117" s="31" t="s">
        <v>470</v>
      </c>
      <c r="I117" s="32" t="s">
        <v>7</v>
      </c>
    </row>
    <row r="118" spans="1:9" ht="18" customHeight="1">
      <c r="A118" s="20" t="str">
        <f t="shared" si="2"/>
        <v>CONTRAPINO DO GRA. ANC. OXIDAÇÃO F4/F5</v>
      </c>
      <c r="B118" s="28" t="s">
        <v>795</v>
      </c>
      <c r="C118" s="29" t="s">
        <v>407</v>
      </c>
      <c r="D118" s="29" t="s">
        <v>665</v>
      </c>
      <c r="E118" s="29" t="s">
        <v>663</v>
      </c>
      <c r="F118" s="30" t="s">
        <v>546</v>
      </c>
      <c r="G118" s="30" t="s">
        <v>461</v>
      </c>
      <c r="H118" s="31" t="s">
        <v>470</v>
      </c>
      <c r="I118" s="32" t="s">
        <v>8</v>
      </c>
    </row>
    <row r="119" spans="1:9" ht="18" customHeight="1">
      <c r="A119" s="20" t="str">
        <f t="shared" si="2"/>
        <v>CONTRAPINO DO GRA. ANC. DANIFICADO</v>
      </c>
      <c r="B119" s="28" t="s">
        <v>796</v>
      </c>
      <c r="C119" s="29" t="s">
        <v>407</v>
      </c>
      <c r="D119" s="29" t="s">
        <v>665</v>
      </c>
      <c r="E119" s="29" t="s">
        <v>664</v>
      </c>
      <c r="F119" s="30" t="s">
        <v>546</v>
      </c>
      <c r="G119" s="30" t="s">
        <v>461</v>
      </c>
      <c r="H119" s="31" t="s">
        <v>470</v>
      </c>
      <c r="I119" s="32" t="s">
        <v>7</v>
      </c>
    </row>
    <row r="120" spans="1:9" ht="18" customHeight="1">
      <c r="A120" s="20" t="str">
        <f t="shared" si="2"/>
        <v>GRAMPO ANCORAGEM OXIDADO F1/F2</v>
      </c>
      <c r="B120" s="28" t="s">
        <v>797</v>
      </c>
      <c r="C120" s="29" t="s">
        <v>407</v>
      </c>
      <c r="D120" s="29" t="s">
        <v>665</v>
      </c>
      <c r="E120" s="29" t="s">
        <v>423</v>
      </c>
      <c r="F120" s="30" t="s">
        <v>547</v>
      </c>
      <c r="G120" s="30" t="s">
        <v>461</v>
      </c>
      <c r="H120" s="31" t="s">
        <v>453</v>
      </c>
      <c r="I120" s="32" t="s">
        <v>6</v>
      </c>
    </row>
    <row r="121" spans="1:9" ht="18" customHeight="1">
      <c r="A121" s="20" t="str">
        <f t="shared" si="2"/>
        <v>GRAMPO ANCORAGEM OXIDADO F3</v>
      </c>
      <c r="B121" s="28" t="s">
        <v>798</v>
      </c>
      <c r="C121" s="29" t="s">
        <v>407</v>
      </c>
      <c r="D121" s="29" t="s">
        <v>665</v>
      </c>
      <c r="E121" s="29" t="s">
        <v>675</v>
      </c>
      <c r="F121" s="30" t="s">
        <v>554</v>
      </c>
      <c r="G121" s="30" t="s">
        <v>461</v>
      </c>
      <c r="H121" s="31" t="s">
        <v>453</v>
      </c>
      <c r="I121" s="32" t="s">
        <v>7</v>
      </c>
    </row>
    <row r="122" spans="1:9" ht="18" customHeight="1">
      <c r="A122" s="20" t="str">
        <f t="shared" si="2"/>
        <v>GRAMPO ANCORAGEM OXIDADO F4/F5</v>
      </c>
      <c r="B122" s="28" t="s">
        <v>799</v>
      </c>
      <c r="C122" s="29" t="s">
        <v>407</v>
      </c>
      <c r="D122" s="29" t="s">
        <v>665</v>
      </c>
      <c r="E122" s="29" t="s">
        <v>676</v>
      </c>
      <c r="F122" s="30" t="s">
        <v>554</v>
      </c>
      <c r="G122" s="30" t="s">
        <v>461</v>
      </c>
      <c r="H122" s="31" t="s">
        <v>453</v>
      </c>
      <c r="I122" s="32" t="s">
        <v>8</v>
      </c>
    </row>
    <row r="123" spans="1:9" ht="18" customHeight="1">
      <c r="A123" s="20" t="str">
        <f t="shared" si="2"/>
        <v>CONTRAPINO-GRA.SUSPENS.INFER.DESENCAIXADO</v>
      </c>
      <c r="B123" s="28" t="s">
        <v>800</v>
      </c>
      <c r="C123" s="29" t="s">
        <v>407</v>
      </c>
      <c r="D123" s="29" t="s">
        <v>548</v>
      </c>
      <c r="E123" s="29" t="s">
        <v>670</v>
      </c>
      <c r="F123" s="30" t="s">
        <v>553</v>
      </c>
      <c r="G123" s="30" t="s">
        <v>461</v>
      </c>
      <c r="H123" s="31" t="s">
        <v>470</v>
      </c>
      <c r="I123" s="32" t="s">
        <v>8</v>
      </c>
    </row>
    <row r="124" spans="1:9" ht="18" customHeight="1">
      <c r="A124" s="20" t="str">
        <f t="shared" si="2"/>
        <v>CONTRAPINO-GRA. SUSPENS. INFER. DANIFIC.</v>
      </c>
      <c r="B124" s="28" t="s">
        <v>801</v>
      </c>
      <c r="C124" s="29" t="s">
        <v>407</v>
      </c>
      <c r="D124" s="29" t="s">
        <v>548</v>
      </c>
      <c r="E124" s="29" t="s">
        <v>666</v>
      </c>
      <c r="F124" s="30" t="s">
        <v>550</v>
      </c>
      <c r="G124" s="30" t="s">
        <v>461</v>
      </c>
      <c r="H124" s="31" t="s">
        <v>470</v>
      </c>
      <c r="I124" s="32" t="s">
        <v>7</v>
      </c>
    </row>
    <row r="125" spans="1:9" ht="18" customHeight="1">
      <c r="A125" s="20" t="str">
        <f t="shared" si="2"/>
        <v>CONTRAPINO-GRA.SUSPENS.INFER. OXID. F1/F2</v>
      </c>
      <c r="B125" s="28" t="s">
        <v>802</v>
      </c>
      <c r="C125" s="29" t="s">
        <v>407</v>
      </c>
      <c r="D125" s="29" t="s">
        <v>548</v>
      </c>
      <c r="E125" s="29" t="s">
        <v>667</v>
      </c>
      <c r="F125" s="30" t="s">
        <v>551</v>
      </c>
      <c r="G125" s="30" t="s">
        <v>461</v>
      </c>
      <c r="H125" s="31" t="s">
        <v>470</v>
      </c>
      <c r="I125" s="32" t="s">
        <v>6</v>
      </c>
    </row>
    <row r="126" spans="1:9" ht="18" customHeight="1">
      <c r="A126" s="20" t="str">
        <f t="shared" si="2"/>
        <v>CONTRAPINO-GRA.SUSPENS.INFER. OXID. F3</v>
      </c>
      <c r="B126" s="28" t="s">
        <v>803</v>
      </c>
      <c r="C126" s="29" t="s">
        <v>407</v>
      </c>
      <c r="D126" s="29" t="s">
        <v>548</v>
      </c>
      <c r="E126" s="29" t="s">
        <v>668</v>
      </c>
      <c r="F126" s="30" t="s">
        <v>552</v>
      </c>
      <c r="G126" s="30" t="s">
        <v>461</v>
      </c>
      <c r="H126" s="31" t="s">
        <v>470</v>
      </c>
      <c r="I126" s="32" t="s">
        <v>7</v>
      </c>
    </row>
    <row r="127" spans="1:9" ht="18" customHeight="1">
      <c r="A127" s="20" t="str">
        <f t="shared" si="2"/>
        <v>CONTRAPINO-GRA.SUSPENS.INFER. OXID. F4/F5</v>
      </c>
      <c r="B127" s="28" t="s">
        <v>804</v>
      </c>
      <c r="C127" s="29" t="s">
        <v>407</v>
      </c>
      <c r="D127" s="29" t="s">
        <v>548</v>
      </c>
      <c r="E127" s="29" t="s">
        <v>669</v>
      </c>
      <c r="F127" s="30" t="s">
        <v>552</v>
      </c>
      <c r="G127" s="30" t="s">
        <v>461</v>
      </c>
      <c r="H127" s="31" t="s">
        <v>470</v>
      </c>
      <c r="I127" s="32" t="s">
        <v>8</v>
      </c>
    </row>
    <row r="128" spans="1:9" ht="18" customHeight="1">
      <c r="A128" s="20" t="str">
        <f t="shared" si="2"/>
        <v>CONTRAPINO-GRA.SUSPENS.SUPER.DESENCAIXADO</v>
      </c>
      <c r="B128" s="28" t="s">
        <v>805</v>
      </c>
      <c r="C128" s="29" t="s">
        <v>407</v>
      </c>
      <c r="D128" s="29" t="s">
        <v>548</v>
      </c>
      <c r="E128" s="29" t="s">
        <v>671</v>
      </c>
      <c r="F128" s="30" t="s">
        <v>546</v>
      </c>
      <c r="G128" s="30" t="s">
        <v>461</v>
      </c>
      <c r="H128" s="31" t="s">
        <v>470</v>
      </c>
      <c r="I128" s="32" t="s">
        <v>8</v>
      </c>
    </row>
    <row r="129" spans="1:9" ht="18" customHeight="1">
      <c r="A129" s="20" t="str">
        <f t="shared" si="2"/>
        <v>CONTRAPINO-GRA.SUSPENS.SUPER. OXID. F1/F2</v>
      </c>
      <c r="B129" s="28" t="s">
        <v>806</v>
      </c>
      <c r="C129" s="29" t="s">
        <v>407</v>
      </c>
      <c r="D129" s="29" t="s">
        <v>548</v>
      </c>
      <c r="E129" s="29" t="s">
        <v>672</v>
      </c>
      <c r="F129" s="30" t="s">
        <v>549</v>
      </c>
      <c r="G129" s="30" t="s">
        <v>461</v>
      </c>
      <c r="H129" s="31" t="s">
        <v>470</v>
      </c>
      <c r="I129" s="32" t="s">
        <v>6</v>
      </c>
    </row>
    <row r="130" spans="1:9" ht="18" customHeight="1">
      <c r="A130" s="20" t="str">
        <f t="shared" si="2"/>
        <v>CONTRAPINO-GRA.SUSPENS.SUPER. OXID. F3</v>
      </c>
      <c r="B130" s="28" t="s">
        <v>807</v>
      </c>
      <c r="C130" s="29" t="s">
        <v>407</v>
      </c>
      <c r="D130" s="29" t="s">
        <v>548</v>
      </c>
      <c r="E130" s="29" t="s">
        <v>673</v>
      </c>
      <c r="F130" s="30" t="s">
        <v>550</v>
      </c>
      <c r="G130" s="30" t="s">
        <v>461</v>
      </c>
      <c r="H130" s="31" t="s">
        <v>470</v>
      </c>
      <c r="I130" s="32" t="s">
        <v>7</v>
      </c>
    </row>
    <row r="131" spans="1:9" ht="18" customHeight="1">
      <c r="A131" s="20" t="str">
        <f t="shared" si="2"/>
        <v>CONTRAPINO-GRA.SUSPENS.SUPER. OXID. F4/F5</v>
      </c>
      <c r="B131" s="28" t="s">
        <v>808</v>
      </c>
      <c r="C131" s="29" t="s">
        <v>407</v>
      </c>
      <c r="D131" s="29" t="s">
        <v>548</v>
      </c>
      <c r="E131" s="29" t="s">
        <v>674</v>
      </c>
      <c r="F131" s="30" t="s">
        <v>550</v>
      </c>
      <c r="G131" s="30" t="s">
        <v>461</v>
      </c>
      <c r="H131" s="31" t="s">
        <v>470</v>
      </c>
      <c r="I131" s="32" t="s">
        <v>8</v>
      </c>
    </row>
    <row r="132" spans="1:9" ht="18" customHeight="1">
      <c r="A132" s="20" t="str">
        <f t="shared" si="2"/>
        <v>GRAMPO DE SUSPENSÃO FOLGADO</v>
      </c>
      <c r="B132" s="28" t="s">
        <v>809</v>
      </c>
      <c r="C132" s="29" t="s">
        <v>407</v>
      </c>
      <c r="D132" s="29" t="s">
        <v>548</v>
      </c>
      <c r="E132" s="29" t="s">
        <v>424</v>
      </c>
      <c r="F132" s="30" t="s">
        <v>555</v>
      </c>
      <c r="G132" s="30" t="s">
        <v>461</v>
      </c>
      <c r="H132" s="31" t="s">
        <v>453</v>
      </c>
      <c r="I132" s="32" t="s">
        <v>7</v>
      </c>
    </row>
    <row r="133" spans="1:9" ht="18" customHeight="1">
      <c r="A133" s="20" t="str">
        <f t="shared" si="2"/>
        <v>GRAMPO SUSPENSÃO OXIDADO  F3</v>
      </c>
      <c r="B133" s="28" t="s">
        <v>810</v>
      </c>
      <c r="C133" s="29" t="s">
        <v>407</v>
      </c>
      <c r="D133" s="29" t="s">
        <v>548</v>
      </c>
      <c r="E133" s="29" t="s">
        <v>556</v>
      </c>
      <c r="F133" s="30" t="s">
        <v>554</v>
      </c>
      <c r="G133" s="30" t="s">
        <v>461</v>
      </c>
      <c r="H133" s="31" t="s">
        <v>453</v>
      </c>
      <c r="I133" s="32" t="s">
        <v>7</v>
      </c>
    </row>
    <row r="134" spans="1:9" ht="18" customHeight="1">
      <c r="A134" s="20" t="str">
        <f t="shared" si="2"/>
        <v>GRAMPO SUSPENSÃO OXIDADO F1/F2</v>
      </c>
      <c r="B134" s="28" t="s">
        <v>811</v>
      </c>
      <c r="C134" s="29" t="s">
        <v>407</v>
      </c>
      <c r="D134" s="29" t="s">
        <v>548</v>
      </c>
      <c r="E134" s="29" t="s">
        <v>425</v>
      </c>
      <c r="F134" s="30" t="s">
        <v>547</v>
      </c>
      <c r="G134" s="30" t="s">
        <v>461</v>
      </c>
      <c r="H134" s="31" t="s">
        <v>453</v>
      </c>
      <c r="I134" s="32" t="s">
        <v>6</v>
      </c>
    </row>
    <row r="135" spans="1:9" ht="18" customHeight="1">
      <c r="A135" s="20" t="str">
        <f t="shared" ref="A135:A198" si="3">E135</f>
        <v>GRAMPO SUSPENSÃO OXIDADO F4/F5</v>
      </c>
      <c r="B135" s="28" t="s">
        <v>812</v>
      </c>
      <c r="C135" s="29" t="s">
        <v>407</v>
      </c>
      <c r="D135" s="29" t="s">
        <v>548</v>
      </c>
      <c r="E135" s="29" t="s">
        <v>414</v>
      </c>
      <c r="F135" s="30" t="s">
        <v>554</v>
      </c>
      <c r="G135" s="30" t="s">
        <v>461</v>
      </c>
      <c r="H135" s="31" t="s">
        <v>453</v>
      </c>
      <c r="I135" s="32" t="s">
        <v>8</v>
      </c>
    </row>
    <row r="136" spans="1:9" ht="18" customHeight="1">
      <c r="A136" s="20" t="str">
        <f t="shared" si="3"/>
        <v>MANILHA OXIDADA F1/F2</v>
      </c>
      <c r="B136" s="28" t="s">
        <v>813</v>
      </c>
      <c r="C136" s="29" t="s">
        <v>407</v>
      </c>
      <c r="D136" s="29" t="s">
        <v>532</v>
      </c>
      <c r="E136" s="29" t="s">
        <v>533</v>
      </c>
      <c r="F136" s="30" t="s">
        <v>534</v>
      </c>
      <c r="G136" s="30" t="s">
        <v>461</v>
      </c>
      <c r="H136" s="31" t="s">
        <v>453</v>
      </c>
      <c r="I136" s="32" t="s">
        <v>6</v>
      </c>
    </row>
    <row r="137" spans="1:9" ht="18" customHeight="1">
      <c r="A137" s="20" t="str">
        <f t="shared" si="3"/>
        <v>MANILHA OXIDADA F3</v>
      </c>
      <c r="B137" s="28" t="s">
        <v>814</v>
      </c>
      <c r="C137" s="29" t="s">
        <v>407</v>
      </c>
      <c r="D137" s="29" t="s">
        <v>532</v>
      </c>
      <c r="E137" s="29" t="s">
        <v>535</v>
      </c>
      <c r="F137" s="30" t="s">
        <v>536</v>
      </c>
      <c r="G137" s="30" t="s">
        <v>461</v>
      </c>
      <c r="H137" s="31" t="s">
        <v>453</v>
      </c>
      <c r="I137" s="32" t="s">
        <v>7</v>
      </c>
    </row>
    <row r="138" spans="1:9" ht="18" customHeight="1">
      <c r="A138" s="20" t="str">
        <f t="shared" si="3"/>
        <v>MANILHA OXIDADA F4/F5</v>
      </c>
      <c r="B138" s="28" t="s">
        <v>815</v>
      </c>
      <c r="C138" s="29" t="s">
        <v>407</v>
      </c>
      <c r="D138" s="29" t="s">
        <v>532</v>
      </c>
      <c r="E138" s="29" t="s">
        <v>537</v>
      </c>
      <c r="F138" s="30" t="s">
        <v>536</v>
      </c>
      <c r="G138" s="30" t="s">
        <v>461</v>
      </c>
      <c r="H138" s="31" t="s">
        <v>453</v>
      </c>
      <c r="I138" s="32" t="s">
        <v>8</v>
      </c>
    </row>
    <row r="139" spans="1:9" ht="18" customHeight="1">
      <c r="A139" s="20" t="str">
        <f t="shared" si="3"/>
        <v>PARAFUSO DA MANILHA OXIDADO  F1/F2</v>
      </c>
      <c r="B139" s="28" t="s">
        <v>816</v>
      </c>
      <c r="C139" s="29" t="s">
        <v>407</v>
      </c>
      <c r="D139" s="29" t="s">
        <v>532</v>
      </c>
      <c r="E139" s="29" t="s">
        <v>538</v>
      </c>
      <c r="F139" s="30" t="s">
        <v>539</v>
      </c>
      <c r="G139" s="30" t="s">
        <v>461</v>
      </c>
      <c r="H139" s="31" t="s">
        <v>453</v>
      </c>
      <c r="I139" s="32" t="s">
        <v>6</v>
      </c>
    </row>
    <row r="140" spans="1:9" ht="18" customHeight="1">
      <c r="A140" s="20" t="str">
        <f t="shared" si="3"/>
        <v>PARAFUSO DA MANILHA OXIDADO  F3</v>
      </c>
      <c r="B140" s="28" t="s">
        <v>817</v>
      </c>
      <c r="C140" s="29" t="s">
        <v>407</v>
      </c>
      <c r="D140" s="29" t="s">
        <v>532</v>
      </c>
      <c r="E140" s="29" t="s">
        <v>540</v>
      </c>
      <c r="F140" s="30" t="s">
        <v>541</v>
      </c>
      <c r="G140" s="30" t="s">
        <v>461</v>
      </c>
      <c r="H140" s="31" t="s">
        <v>453</v>
      </c>
      <c r="I140" s="32" t="s">
        <v>7</v>
      </c>
    </row>
    <row r="141" spans="1:9" ht="18" customHeight="1">
      <c r="A141" s="20" t="str">
        <f t="shared" si="3"/>
        <v>PARAFUSO DA MANILHA OXIDADO  F4/F5</v>
      </c>
      <c r="B141" s="28" t="s">
        <v>818</v>
      </c>
      <c r="C141" s="29" t="s">
        <v>407</v>
      </c>
      <c r="D141" s="29" t="s">
        <v>532</v>
      </c>
      <c r="E141" s="29" t="s">
        <v>542</v>
      </c>
      <c r="F141" s="30" t="s">
        <v>541</v>
      </c>
      <c r="G141" s="30" t="s">
        <v>461</v>
      </c>
      <c r="H141" s="31" t="s">
        <v>453</v>
      </c>
      <c r="I141" s="32" t="s">
        <v>8</v>
      </c>
    </row>
    <row r="142" spans="1:9" ht="18" customHeight="1">
      <c r="A142" s="20" t="str">
        <f t="shared" si="3"/>
        <v>PARAFUSO OLHAL OXIDADO F1/F2</v>
      </c>
      <c r="B142" s="28" t="s">
        <v>819</v>
      </c>
      <c r="C142" s="29" t="s">
        <v>407</v>
      </c>
      <c r="D142" s="29" t="s">
        <v>528</v>
      </c>
      <c r="E142" s="29" t="s">
        <v>529</v>
      </c>
      <c r="F142" s="30" t="s">
        <v>530</v>
      </c>
      <c r="G142" s="30" t="s">
        <v>461</v>
      </c>
      <c r="H142" s="31" t="s">
        <v>470</v>
      </c>
      <c r="I142" s="32" t="s">
        <v>6</v>
      </c>
    </row>
    <row r="143" spans="1:9" ht="18" customHeight="1">
      <c r="A143" s="20" t="str">
        <f t="shared" si="3"/>
        <v>PARAFUSO OLHAL OXIDADO F3</v>
      </c>
      <c r="B143" s="28" t="s">
        <v>820</v>
      </c>
      <c r="C143" s="29" t="s">
        <v>407</v>
      </c>
      <c r="D143" s="29" t="s">
        <v>528</v>
      </c>
      <c r="E143" s="29" t="s">
        <v>677</v>
      </c>
      <c r="F143" s="30" t="s">
        <v>531</v>
      </c>
      <c r="G143" s="30" t="s">
        <v>461</v>
      </c>
      <c r="H143" s="31" t="s">
        <v>470</v>
      </c>
      <c r="I143" s="32" t="s">
        <v>7</v>
      </c>
    </row>
    <row r="144" spans="1:9" ht="18" customHeight="1">
      <c r="A144" s="20" t="str">
        <f t="shared" si="3"/>
        <v>PARAFUSO OLHAL OXIDADO F4/F5</v>
      </c>
      <c r="B144" s="28" t="s">
        <v>821</v>
      </c>
      <c r="C144" s="29" t="s">
        <v>407</v>
      </c>
      <c r="D144" s="29" t="s">
        <v>528</v>
      </c>
      <c r="E144" s="29" t="s">
        <v>678</v>
      </c>
      <c r="F144" s="30" t="s">
        <v>531</v>
      </c>
      <c r="G144" s="30" t="s">
        <v>461</v>
      </c>
      <c r="H144" s="31" t="s">
        <v>470</v>
      </c>
      <c r="I144" s="32" t="s">
        <v>8</v>
      </c>
    </row>
    <row r="145" spans="1:9" ht="18" customHeight="1">
      <c r="A145" s="20" t="str">
        <f t="shared" si="3"/>
        <v>PEDAROL INEXISTENTE</v>
      </c>
      <c r="B145" s="43" t="s">
        <v>1367</v>
      </c>
      <c r="C145" s="29" t="s">
        <v>407</v>
      </c>
      <c r="D145" s="41" t="s">
        <v>1363</v>
      </c>
      <c r="E145" s="42" t="s">
        <v>1364</v>
      </c>
      <c r="F145" s="40" t="s">
        <v>1365</v>
      </c>
      <c r="G145" s="40" t="s">
        <v>452</v>
      </c>
      <c r="H145" s="44" t="s">
        <v>453</v>
      </c>
      <c r="I145" s="32" t="s">
        <v>6</v>
      </c>
    </row>
    <row r="146" spans="1:9" ht="18" customHeight="1">
      <c r="A146" s="20" t="str">
        <f t="shared" si="3"/>
        <v>PEDAROL OXIDADO F1/F2</v>
      </c>
      <c r="B146" s="43" t="s">
        <v>1368</v>
      </c>
      <c r="C146" s="29" t="s">
        <v>407</v>
      </c>
      <c r="D146" s="41" t="s">
        <v>1363</v>
      </c>
      <c r="E146" s="42" t="s">
        <v>1371</v>
      </c>
      <c r="F146" s="40" t="s">
        <v>1366</v>
      </c>
      <c r="G146" s="40" t="s">
        <v>452</v>
      </c>
      <c r="H146" s="44" t="s">
        <v>453</v>
      </c>
      <c r="I146" s="32" t="s">
        <v>6</v>
      </c>
    </row>
    <row r="147" spans="1:9" ht="18" customHeight="1">
      <c r="A147" s="20" t="str">
        <f t="shared" si="3"/>
        <v>PEDAROL OXIDADO F3</v>
      </c>
      <c r="B147" s="43" t="s">
        <v>1369</v>
      </c>
      <c r="C147" s="29" t="s">
        <v>407</v>
      </c>
      <c r="D147" s="41" t="s">
        <v>1363</v>
      </c>
      <c r="E147" s="42" t="s">
        <v>1372</v>
      </c>
      <c r="F147" s="40" t="s">
        <v>1366</v>
      </c>
      <c r="G147" s="40" t="s">
        <v>452</v>
      </c>
      <c r="H147" s="44" t="s">
        <v>453</v>
      </c>
      <c r="I147" s="32" t="s">
        <v>6</v>
      </c>
    </row>
    <row r="148" spans="1:9" ht="18" customHeight="1">
      <c r="A148" s="20" t="str">
        <f t="shared" si="3"/>
        <v>PEDAROL OXIDADO F4/F5</v>
      </c>
      <c r="B148" s="43" t="s">
        <v>1370</v>
      </c>
      <c r="C148" s="29" t="s">
        <v>407</v>
      </c>
      <c r="D148" s="41" t="s">
        <v>1363</v>
      </c>
      <c r="E148" s="42" t="s">
        <v>1373</v>
      </c>
      <c r="F148" s="40" t="s">
        <v>1366</v>
      </c>
      <c r="G148" s="40" t="s">
        <v>452</v>
      </c>
      <c r="H148" s="44" t="s">
        <v>453</v>
      </c>
      <c r="I148" s="32" t="s">
        <v>6</v>
      </c>
    </row>
    <row r="149" spans="1:9" ht="18" customHeight="1">
      <c r="A149" s="20" t="str">
        <f t="shared" si="3"/>
        <v>CORPOS ESTRANHO NA CADEIA DE ISOLADOR</v>
      </c>
      <c r="B149" s="28" t="s">
        <v>822</v>
      </c>
      <c r="C149" s="29" t="s">
        <v>404</v>
      </c>
      <c r="D149" s="29" t="s">
        <v>569</v>
      </c>
      <c r="E149" s="33" t="s">
        <v>679</v>
      </c>
      <c r="F149" s="30" t="s">
        <v>570</v>
      </c>
      <c r="G149" s="30" t="s">
        <v>461</v>
      </c>
      <c r="H149" s="31" t="s">
        <v>453</v>
      </c>
      <c r="I149" s="32" t="s">
        <v>8</v>
      </c>
    </row>
    <row r="150" spans="1:9" ht="18" customHeight="1">
      <c r="A150" s="20" t="str">
        <f t="shared" si="3"/>
        <v>ISOLADOR MUITO POLUÍDO</v>
      </c>
      <c r="B150" s="28" t="s">
        <v>823</v>
      </c>
      <c r="C150" s="29" t="s">
        <v>404</v>
      </c>
      <c r="D150" s="29" t="s">
        <v>569</v>
      </c>
      <c r="E150" s="29" t="s">
        <v>426</v>
      </c>
      <c r="F150" s="30" t="s">
        <v>559</v>
      </c>
      <c r="G150" s="30" t="s">
        <v>461</v>
      </c>
      <c r="H150" s="31" t="s">
        <v>470</v>
      </c>
      <c r="I150" s="32" t="s">
        <v>7</v>
      </c>
    </row>
    <row r="151" spans="1:9" ht="18" customHeight="1">
      <c r="A151" s="20" t="str">
        <f t="shared" si="3"/>
        <v>ISOLADOR OXIDADO F1/F2</v>
      </c>
      <c r="B151" s="28" t="s">
        <v>824</v>
      </c>
      <c r="C151" s="29" t="s">
        <v>404</v>
      </c>
      <c r="D151" s="29" t="s">
        <v>569</v>
      </c>
      <c r="E151" s="29" t="s">
        <v>572</v>
      </c>
      <c r="F151" s="30" t="s">
        <v>573</v>
      </c>
      <c r="G151" s="30" t="s">
        <v>461</v>
      </c>
      <c r="H151" s="31" t="s">
        <v>470</v>
      </c>
      <c r="I151" s="32" t="s">
        <v>6</v>
      </c>
    </row>
    <row r="152" spans="1:9" ht="18" customHeight="1">
      <c r="A152" s="20" t="str">
        <f t="shared" si="3"/>
        <v>ISOLADOR OXIDADO F3</v>
      </c>
      <c r="B152" s="28" t="s">
        <v>825</v>
      </c>
      <c r="C152" s="29" t="s">
        <v>404</v>
      </c>
      <c r="D152" s="29" t="s">
        <v>569</v>
      </c>
      <c r="E152" s="29" t="s">
        <v>427</v>
      </c>
      <c r="F152" s="30" t="s">
        <v>559</v>
      </c>
      <c r="G152" s="30" t="s">
        <v>461</v>
      </c>
      <c r="H152" s="31" t="s">
        <v>470</v>
      </c>
      <c r="I152" s="32" t="s">
        <v>7</v>
      </c>
    </row>
    <row r="153" spans="1:9" ht="18" customHeight="1">
      <c r="A153" s="20" t="str">
        <f t="shared" si="3"/>
        <v>ISOLADOR OXIDADO F4/F5</v>
      </c>
      <c r="B153" s="28" t="s">
        <v>826</v>
      </c>
      <c r="C153" s="29" t="s">
        <v>404</v>
      </c>
      <c r="D153" s="29" t="s">
        <v>569</v>
      </c>
      <c r="E153" s="29" t="s">
        <v>876</v>
      </c>
      <c r="F153" s="30" t="s">
        <v>559</v>
      </c>
      <c r="G153" s="30" t="s">
        <v>461</v>
      </c>
      <c r="H153" s="31" t="s">
        <v>470</v>
      </c>
      <c r="I153" s="32" t="s">
        <v>8</v>
      </c>
    </row>
    <row r="154" spans="1:9" ht="18" customHeight="1">
      <c r="A154" s="20" t="str">
        <f t="shared" si="3"/>
        <v xml:space="preserve">ISOLADOR POUCO POLUIDO </v>
      </c>
      <c r="B154" s="28" t="s">
        <v>827</v>
      </c>
      <c r="C154" s="29" t="s">
        <v>404</v>
      </c>
      <c r="D154" s="29" t="s">
        <v>569</v>
      </c>
      <c r="E154" s="29" t="s">
        <v>571</v>
      </c>
      <c r="F154" s="30" t="s">
        <v>547</v>
      </c>
      <c r="G154" s="30" t="s">
        <v>461</v>
      </c>
      <c r="H154" s="31" t="s">
        <v>470</v>
      </c>
      <c r="I154" s="32" t="s">
        <v>6</v>
      </c>
    </row>
    <row r="155" spans="1:9" ht="18" customHeight="1">
      <c r="A155" s="20" t="str">
        <f t="shared" si="3"/>
        <v>ISOL. QUEBRADO 138KV - 02 OU MENOS DE 02</v>
      </c>
      <c r="B155" s="28" t="s">
        <v>828</v>
      </c>
      <c r="C155" s="29" t="s">
        <v>404</v>
      </c>
      <c r="D155" s="29" t="s">
        <v>569</v>
      </c>
      <c r="E155" s="29" t="s">
        <v>877</v>
      </c>
      <c r="F155" s="30" t="s">
        <v>559</v>
      </c>
      <c r="G155" s="30" t="s">
        <v>461</v>
      </c>
      <c r="H155" s="31" t="s">
        <v>470</v>
      </c>
      <c r="I155" s="32" t="s">
        <v>7</v>
      </c>
    </row>
    <row r="156" spans="1:9" ht="18" customHeight="1">
      <c r="A156" s="20" t="str">
        <f t="shared" si="3"/>
        <v>ISOLADOR QUEBRADO 138 KV - MAIS DE 02</v>
      </c>
      <c r="B156" s="28" t="s">
        <v>829</v>
      </c>
      <c r="C156" s="29" t="s">
        <v>404</v>
      </c>
      <c r="D156" s="29" t="s">
        <v>569</v>
      </c>
      <c r="E156" s="29" t="s">
        <v>428</v>
      </c>
      <c r="F156" s="30" t="s">
        <v>559</v>
      </c>
      <c r="G156" s="30" t="s">
        <v>461</v>
      </c>
      <c r="H156" s="31" t="s">
        <v>470</v>
      </c>
      <c r="I156" s="32" t="s">
        <v>8</v>
      </c>
    </row>
    <row r="157" spans="1:9" ht="18" customHeight="1">
      <c r="A157" s="20" t="str">
        <f t="shared" si="3"/>
        <v>ISOLADOR QUEBRADO 230 KV - MAIS 2</v>
      </c>
      <c r="B157" s="28" t="s">
        <v>830</v>
      </c>
      <c r="C157" s="29" t="s">
        <v>404</v>
      </c>
      <c r="D157" s="29" t="s">
        <v>569</v>
      </c>
      <c r="E157" s="29" t="s">
        <v>574</v>
      </c>
      <c r="F157" s="30" t="s">
        <v>559</v>
      </c>
      <c r="G157" s="30" t="s">
        <v>461</v>
      </c>
      <c r="H157" s="31" t="s">
        <v>470</v>
      </c>
      <c r="I157" s="32" t="s">
        <v>8</v>
      </c>
    </row>
    <row r="158" spans="1:9" ht="18" customHeight="1">
      <c r="A158" s="20" t="str">
        <f t="shared" si="3"/>
        <v>ISOLADOR QUEBRADO 69 KV - APENAS 01</v>
      </c>
      <c r="B158" s="28" t="s">
        <v>831</v>
      </c>
      <c r="C158" s="29" t="s">
        <v>404</v>
      </c>
      <c r="D158" s="29" t="s">
        <v>569</v>
      </c>
      <c r="E158" s="29" t="s">
        <v>430</v>
      </c>
      <c r="F158" s="30" t="s">
        <v>559</v>
      </c>
      <c r="G158" s="30" t="s">
        <v>461</v>
      </c>
      <c r="H158" s="31" t="s">
        <v>470</v>
      </c>
      <c r="I158" s="32" t="s">
        <v>7</v>
      </c>
    </row>
    <row r="159" spans="1:9" ht="18" customHeight="1">
      <c r="A159" s="20" t="str">
        <f t="shared" si="3"/>
        <v>ISOLADOR QUEBRADO 69 KV - MAIS DE 01</v>
      </c>
      <c r="B159" s="28" t="s">
        <v>832</v>
      </c>
      <c r="C159" s="29" t="s">
        <v>404</v>
      </c>
      <c r="D159" s="29" t="s">
        <v>569</v>
      </c>
      <c r="E159" s="29" t="s">
        <v>429</v>
      </c>
      <c r="F159" s="30" t="s">
        <v>559</v>
      </c>
      <c r="G159" s="30" t="s">
        <v>461</v>
      </c>
      <c r="H159" s="31" t="s">
        <v>470</v>
      </c>
      <c r="I159" s="32" t="s">
        <v>8</v>
      </c>
    </row>
    <row r="160" spans="1:9" ht="18" customHeight="1">
      <c r="A160" s="20" t="str">
        <f t="shared" si="3"/>
        <v>COM VAZAMENTO - LINE POST</v>
      </c>
      <c r="B160" s="28" t="s">
        <v>833</v>
      </c>
      <c r="C160" s="29" t="s">
        <v>404</v>
      </c>
      <c r="D160" s="29" t="s">
        <v>565</v>
      </c>
      <c r="E160" s="29" t="s">
        <v>566</v>
      </c>
      <c r="F160" s="30" t="s">
        <v>559</v>
      </c>
      <c r="G160" s="30" t="s">
        <v>461</v>
      </c>
      <c r="H160" s="31" t="s">
        <v>470</v>
      </c>
      <c r="I160" s="32" t="s">
        <v>8</v>
      </c>
    </row>
    <row r="161" spans="1:9" ht="18" customHeight="1">
      <c r="A161" s="20" t="str">
        <f t="shared" si="3"/>
        <v>MUITO CHAMUSCADO - LINE POST</v>
      </c>
      <c r="B161" s="28" t="s">
        <v>834</v>
      </c>
      <c r="C161" s="29" t="s">
        <v>404</v>
      </c>
      <c r="D161" s="29" t="s">
        <v>565</v>
      </c>
      <c r="E161" s="29" t="s">
        <v>568</v>
      </c>
      <c r="F161" s="30" t="s">
        <v>559</v>
      </c>
      <c r="G161" s="30" t="s">
        <v>461</v>
      </c>
      <c r="H161" s="31" t="s">
        <v>470</v>
      </c>
      <c r="I161" s="32" t="s">
        <v>7</v>
      </c>
    </row>
    <row r="162" spans="1:9" ht="18" customHeight="1">
      <c r="A162" s="20" t="str">
        <f t="shared" si="3"/>
        <v>POUCO CHAMUSCADO - LINE POST</v>
      </c>
      <c r="B162" s="28" t="s">
        <v>835</v>
      </c>
      <c r="C162" s="29" t="s">
        <v>404</v>
      </c>
      <c r="D162" s="29" t="s">
        <v>565</v>
      </c>
      <c r="E162" s="29" t="s">
        <v>567</v>
      </c>
      <c r="F162" s="30" t="s">
        <v>559</v>
      </c>
      <c r="G162" s="30" t="s">
        <v>461</v>
      </c>
      <c r="H162" s="31" t="s">
        <v>470</v>
      </c>
      <c r="I162" s="32" t="s">
        <v>6</v>
      </c>
    </row>
    <row r="163" spans="1:9" ht="18" customHeight="1">
      <c r="A163" s="20" t="str">
        <f t="shared" si="3"/>
        <v>COM VAZAMENTO -POLIMÉRICO</v>
      </c>
      <c r="B163" s="28" t="s">
        <v>836</v>
      </c>
      <c r="C163" s="29" t="s">
        <v>404</v>
      </c>
      <c r="D163" s="29" t="s">
        <v>23</v>
      </c>
      <c r="E163" s="29" t="s">
        <v>562</v>
      </c>
      <c r="F163" s="30" t="s">
        <v>559</v>
      </c>
      <c r="G163" s="30" t="s">
        <v>461</v>
      </c>
      <c r="H163" s="31" t="s">
        <v>470</v>
      </c>
      <c r="I163" s="32" t="s">
        <v>8</v>
      </c>
    </row>
    <row r="164" spans="1:9" ht="18" customHeight="1">
      <c r="A164" s="20" t="str">
        <f t="shared" si="3"/>
        <v>MUITO CHAMUSCADO - POLIMÉRICO</v>
      </c>
      <c r="B164" s="28" t="s">
        <v>837</v>
      </c>
      <c r="C164" s="29" t="s">
        <v>404</v>
      </c>
      <c r="D164" s="29" t="s">
        <v>23</v>
      </c>
      <c r="E164" s="29" t="s">
        <v>564</v>
      </c>
      <c r="F164" s="30" t="s">
        <v>559</v>
      </c>
      <c r="G164" s="30" t="s">
        <v>461</v>
      </c>
      <c r="H164" s="31" t="s">
        <v>470</v>
      </c>
      <c r="I164" s="32" t="s">
        <v>7</v>
      </c>
    </row>
    <row r="165" spans="1:9" ht="18" customHeight="1">
      <c r="A165" s="20" t="str">
        <f t="shared" si="3"/>
        <v>POUCO CHAMUSCADO - POLIMÉRICO</v>
      </c>
      <c r="B165" s="28" t="s">
        <v>838</v>
      </c>
      <c r="C165" s="29" t="s">
        <v>404</v>
      </c>
      <c r="D165" s="29" t="s">
        <v>23</v>
      </c>
      <c r="E165" s="29" t="s">
        <v>563</v>
      </c>
      <c r="F165" s="30" t="s">
        <v>559</v>
      </c>
      <c r="G165" s="30" t="s">
        <v>461</v>
      </c>
      <c r="H165" s="31" t="s">
        <v>470</v>
      </c>
      <c r="I165" s="32" t="s">
        <v>6</v>
      </c>
    </row>
    <row r="166" spans="1:9" ht="18" customHeight="1">
      <c r="A166" s="20" t="str">
        <f t="shared" si="3"/>
        <v>COM VAZAMENTO - VIDRO</v>
      </c>
      <c r="B166" s="28" t="s">
        <v>839</v>
      </c>
      <c r="C166" s="29" t="s">
        <v>404</v>
      </c>
      <c r="D166" s="29" t="s">
        <v>557</v>
      </c>
      <c r="E166" s="29" t="s">
        <v>558</v>
      </c>
      <c r="F166" s="30" t="s">
        <v>559</v>
      </c>
      <c r="G166" s="30" t="s">
        <v>461</v>
      </c>
      <c r="H166" s="31" t="s">
        <v>470</v>
      </c>
      <c r="I166" s="32" t="s">
        <v>8</v>
      </c>
    </row>
    <row r="167" spans="1:9" ht="18" customHeight="1">
      <c r="A167" s="20" t="str">
        <f t="shared" si="3"/>
        <v>MUITO CHAMUSCADO - VIDRO</v>
      </c>
      <c r="B167" s="28" t="s">
        <v>840</v>
      </c>
      <c r="C167" s="29" t="s">
        <v>404</v>
      </c>
      <c r="D167" s="29" t="s">
        <v>557</v>
      </c>
      <c r="E167" s="29" t="s">
        <v>561</v>
      </c>
      <c r="F167" s="30" t="s">
        <v>559</v>
      </c>
      <c r="G167" s="30" t="s">
        <v>461</v>
      </c>
      <c r="H167" s="31" t="s">
        <v>470</v>
      </c>
      <c r="I167" s="32" t="s">
        <v>7</v>
      </c>
    </row>
    <row r="168" spans="1:9" ht="18" customHeight="1">
      <c r="A168" s="20" t="str">
        <f t="shared" si="3"/>
        <v>POUCO CHAMUSCADO - VIDRO</v>
      </c>
      <c r="B168" s="28" t="s">
        <v>841</v>
      </c>
      <c r="C168" s="29" t="s">
        <v>404</v>
      </c>
      <c r="D168" s="29" t="s">
        <v>557</v>
      </c>
      <c r="E168" s="29" t="s">
        <v>560</v>
      </c>
      <c r="F168" s="30" t="s">
        <v>559</v>
      </c>
      <c r="G168" s="30" t="s">
        <v>461</v>
      </c>
      <c r="H168" s="31" t="s">
        <v>470</v>
      </c>
      <c r="I168" s="32" t="s">
        <v>6</v>
      </c>
    </row>
    <row r="169" spans="1:9" ht="18" customHeight="1">
      <c r="A169" s="20" t="str">
        <f t="shared" si="3"/>
        <v>CABO GUARDA C/ TENTO PARTIDO</v>
      </c>
      <c r="B169" s="28" t="s">
        <v>842</v>
      </c>
      <c r="C169" s="39" t="s">
        <v>1183</v>
      </c>
      <c r="D169" s="29" t="s">
        <v>575</v>
      </c>
      <c r="E169" s="29" t="s">
        <v>680</v>
      </c>
      <c r="F169" s="30" t="s">
        <v>576</v>
      </c>
      <c r="G169" s="30" t="s">
        <v>461</v>
      </c>
      <c r="H169" s="31" t="s">
        <v>470</v>
      </c>
      <c r="I169" s="32" t="s">
        <v>7</v>
      </c>
    </row>
    <row r="170" spans="1:9" ht="18" customHeight="1">
      <c r="A170" s="20" t="str">
        <f t="shared" si="3"/>
        <v>CABO GUARDA C/ TENTO DANIFICADO</v>
      </c>
      <c r="B170" s="28" t="s">
        <v>843</v>
      </c>
      <c r="C170" s="39" t="s">
        <v>1183</v>
      </c>
      <c r="D170" s="29" t="s">
        <v>575</v>
      </c>
      <c r="E170" s="29" t="s">
        <v>681</v>
      </c>
      <c r="F170" s="30" t="s">
        <v>576</v>
      </c>
      <c r="G170" s="30" t="s">
        <v>461</v>
      </c>
      <c r="H170" s="31" t="s">
        <v>470</v>
      </c>
      <c r="I170" s="32" t="s">
        <v>6</v>
      </c>
    </row>
    <row r="171" spans="1:9" ht="18" customHeight="1">
      <c r="A171" s="20" t="str">
        <f t="shared" si="3"/>
        <v>CABO GUARDA  OXIDADOS F1/F2</v>
      </c>
      <c r="B171" s="28" t="s">
        <v>844</v>
      </c>
      <c r="C171" s="39" t="s">
        <v>1183</v>
      </c>
      <c r="D171" s="29" t="s">
        <v>575</v>
      </c>
      <c r="E171" s="29" t="s">
        <v>577</v>
      </c>
      <c r="F171" s="30" t="s">
        <v>576</v>
      </c>
      <c r="G171" s="30" t="s">
        <v>461</v>
      </c>
      <c r="H171" s="31" t="s">
        <v>470</v>
      </c>
      <c r="I171" s="32" t="s">
        <v>6</v>
      </c>
    </row>
    <row r="172" spans="1:9" ht="18" customHeight="1">
      <c r="A172" s="20" t="str">
        <f t="shared" si="3"/>
        <v>CABO GUARDA OXIDADOS F3</v>
      </c>
      <c r="B172" s="28" t="s">
        <v>845</v>
      </c>
      <c r="C172" s="39" t="s">
        <v>1183</v>
      </c>
      <c r="D172" s="29" t="s">
        <v>575</v>
      </c>
      <c r="E172" s="29" t="s">
        <v>578</v>
      </c>
      <c r="F172" s="30" t="s">
        <v>576</v>
      </c>
      <c r="G172" s="30" t="s">
        <v>461</v>
      </c>
      <c r="H172" s="31" t="s">
        <v>470</v>
      </c>
      <c r="I172" s="32" t="s">
        <v>7</v>
      </c>
    </row>
    <row r="173" spans="1:9" ht="18" customHeight="1">
      <c r="A173" s="20" t="str">
        <f t="shared" si="3"/>
        <v>CABO GUARDA OXIDADOS F4/F5</v>
      </c>
      <c r="B173" s="28" t="s">
        <v>846</v>
      </c>
      <c r="C173" s="39" t="s">
        <v>1183</v>
      </c>
      <c r="D173" s="29" t="s">
        <v>575</v>
      </c>
      <c r="E173" s="29" t="s">
        <v>579</v>
      </c>
      <c r="F173" s="30" t="s">
        <v>576</v>
      </c>
      <c r="G173" s="30" t="s">
        <v>461</v>
      </c>
      <c r="H173" s="31" t="s">
        <v>470</v>
      </c>
      <c r="I173" s="32" t="s">
        <v>8</v>
      </c>
    </row>
    <row r="174" spans="1:9" ht="18" customHeight="1">
      <c r="A174" s="20" t="str">
        <f t="shared" si="3"/>
        <v>CONECTOR PARALELO F1/F2</v>
      </c>
      <c r="B174" s="28" t="s">
        <v>847</v>
      </c>
      <c r="C174" s="39" t="s">
        <v>1183</v>
      </c>
      <c r="D174" s="29" t="s">
        <v>575</v>
      </c>
      <c r="E174" s="29" t="s">
        <v>580</v>
      </c>
      <c r="F174" s="30" t="s">
        <v>486</v>
      </c>
      <c r="G174" s="30" t="s">
        <v>461</v>
      </c>
      <c r="H174" s="31" t="s">
        <v>453</v>
      </c>
      <c r="I174" s="32" t="s">
        <v>6</v>
      </c>
    </row>
    <row r="175" spans="1:9" ht="18" customHeight="1">
      <c r="A175" s="20" t="str">
        <f t="shared" si="3"/>
        <v>CONECTOR PARALELO F3</v>
      </c>
      <c r="B175" s="28" t="s">
        <v>848</v>
      </c>
      <c r="C175" s="39" t="s">
        <v>1183</v>
      </c>
      <c r="D175" s="29" t="s">
        <v>575</v>
      </c>
      <c r="E175" s="29" t="s">
        <v>581</v>
      </c>
      <c r="F175" s="30" t="s">
        <v>486</v>
      </c>
      <c r="G175" s="30" t="s">
        <v>461</v>
      </c>
      <c r="H175" s="31" t="s">
        <v>453</v>
      </c>
      <c r="I175" s="32" t="s">
        <v>7</v>
      </c>
    </row>
    <row r="176" spans="1:9" ht="18" customHeight="1">
      <c r="A176" s="20" t="str">
        <f t="shared" si="3"/>
        <v>CONECTOR PARALELO F4/F5</v>
      </c>
      <c r="B176" s="28" t="s">
        <v>849</v>
      </c>
      <c r="C176" s="39" t="s">
        <v>1183</v>
      </c>
      <c r="D176" s="29" t="s">
        <v>575</v>
      </c>
      <c r="E176" s="29" t="s">
        <v>582</v>
      </c>
      <c r="F176" s="30" t="s">
        <v>486</v>
      </c>
      <c r="G176" s="30" t="s">
        <v>461</v>
      </c>
      <c r="H176" s="31" t="s">
        <v>453</v>
      </c>
      <c r="I176" s="32" t="s">
        <v>8</v>
      </c>
    </row>
    <row r="177" spans="1:9" ht="18" customHeight="1">
      <c r="A177" s="20" t="str">
        <f t="shared" si="3"/>
        <v>CABO GUARDA EM CIMA DO CONDUTOR</v>
      </c>
      <c r="B177" s="43" t="s">
        <v>1361</v>
      </c>
      <c r="C177" s="41" t="s">
        <v>1183</v>
      </c>
      <c r="D177" s="33" t="s">
        <v>575</v>
      </c>
      <c r="E177" s="46" t="s">
        <v>1349</v>
      </c>
      <c r="F177" s="40" t="s">
        <v>1352</v>
      </c>
      <c r="G177" s="30" t="s">
        <v>461</v>
      </c>
      <c r="H177" s="31" t="s">
        <v>453</v>
      </c>
      <c r="I177" s="32" t="s">
        <v>8</v>
      </c>
    </row>
    <row r="178" spans="1:9" ht="18" customHeight="1">
      <c r="A178" s="20" t="str">
        <f t="shared" si="3"/>
        <v>CABO DE ATERR. DESCONECTADO</v>
      </c>
      <c r="B178" s="28" t="s">
        <v>850</v>
      </c>
      <c r="C178" s="39" t="s">
        <v>1183</v>
      </c>
      <c r="D178" s="39" t="s">
        <v>1178</v>
      </c>
      <c r="E178" s="29" t="s">
        <v>583</v>
      </c>
      <c r="F178" s="30" t="s">
        <v>584</v>
      </c>
      <c r="G178" s="30" t="s">
        <v>461</v>
      </c>
      <c r="H178" s="31" t="s">
        <v>453</v>
      </c>
      <c r="I178" s="32" t="s">
        <v>7</v>
      </c>
    </row>
    <row r="179" spans="1:9" ht="18" customHeight="1">
      <c r="A179" s="20" t="str">
        <f t="shared" si="3"/>
        <v>CABO DE ATERR. PARTIDO</v>
      </c>
      <c r="B179" s="28" t="s">
        <v>851</v>
      </c>
      <c r="C179" s="39" t="s">
        <v>1183</v>
      </c>
      <c r="D179" s="39" t="s">
        <v>1178</v>
      </c>
      <c r="E179" s="29" t="s">
        <v>585</v>
      </c>
      <c r="F179" s="30" t="s">
        <v>480</v>
      </c>
      <c r="G179" s="30" t="s">
        <v>461</v>
      </c>
      <c r="H179" s="31" t="s">
        <v>453</v>
      </c>
      <c r="I179" s="32" t="s">
        <v>7</v>
      </c>
    </row>
    <row r="180" spans="1:9" ht="18" customHeight="1">
      <c r="A180" s="20" t="str">
        <f t="shared" si="3"/>
        <v>CONECTORES FOLGADOS</v>
      </c>
      <c r="B180" s="28" t="s">
        <v>852</v>
      </c>
      <c r="C180" s="39" t="s">
        <v>1183</v>
      </c>
      <c r="D180" s="39" t="s">
        <v>1178</v>
      </c>
      <c r="E180" s="29" t="s">
        <v>411</v>
      </c>
      <c r="F180" s="30" t="s">
        <v>587</v>
      </c>
      <c r="G180" s="30" t="s">
        <v>461</v>
      </c>
      <c r="H180" s="31" t="s">
        <v>453</v>
      </c>
      <c r="I180" s="32" t="s">
        <v>7</v>
      </c>
    </row>
    <row r="181" spans="1:9" ht="18" customHeight="1">
      <c r="A181" s="20" t="str">
        <f t="shared" si="3"/>
        <v>CONECTORES - OXIDADOS F1/F2</v>
      </c>
      <c r="B181" s="28" t="s">
        <v>853</v>
      </c>
      <c r="C181" s="39" t="s">
        <v>1183</v>
      </c>
      <c r="D181" s="39" t="s">
        <v>1178</v>
      </c>
      <c r="E181" s="29" t="s">
        <v>410</v>
      </c>
      <c r="F181" s="30" t="s">
        <v>547</v>
      </c>
      <c r="G181" s="30" t="s">
        <v>461</v>
      </c>
      <c r="H181" s="31" t="s">
        <v>453</v>
      </c>
      <c r="I181" s="32" t="s">
        <v>6</v>
      </c>
    </row>
    <row r="182" spans="1:9" ht="18" customHeight="1">
      <c r="A182" s="20" t="str">
        <f t="shared" si="3"/>
        <v>CONECTORES OXIDADOS F3</v>
      </c>
      <c r="B182" s="28" t="s">
        <v>854</v>
      </c>
      <c r="C182" s="39" t="s">
        <v>1183</v>
      </c>
      <c r="D182" s="39" t="s">
        <v>1178</v>
      </c>
      <c r="E182" s="29" t="s">
        <v>412</v>
      </c>
      <c r="F182" s="30" t="s">
        <v>486</v>
      </c>
      <c r="G182" s="30" t="s">
        <v>461</v>
      </c>
      <c r="H182" s="31" t="s">
        <v>453</v>
      </c>
      <c r="I182" s="32" t="s">
        <v>7</v>
      </c>
    </row>
    <row r="183" spans="1:9" ht="18" customHeight="1">
      <c r="A183" s="20" t="str">
        <f t="shared" si="3"/>
        <v>CONECTORES OXIDADOS F4/F5</v>
      </c>
      <c r="B183" s="28" t="s">
        <v>855</v>
      </c>
      <c r="C183" s="39" t="s">
        <v>1183</v>
      </c>
      <c r="D183" s="39" t="s">
        <v>1178</v>
      </c>
      <c r="E183" s="29" t="s">
        <v>413</v>
      </c>
      <c r="F183" s="30" t="s">
        <v>486</v>
      </c>
      <c r="G183" s="30" t="s">
        <v>461</v>
      </c>
      <c r="H183" s="31" t="s">
        <v>453</v>
      </c>
      <c r="I183" s="32" t="s">
        <v>8</v>
      </c>
    </row>
    <row r="184" spans="1:9" ht="18" customHeight="1">
      <c r="A184" s="20" t="str">
        <f t="shared" si="3"/>
        <v>CORPOS ESTRANHOS NO PR</v>
      </c>
      <c r="B184" s="28" t="s">
        <v>856</v>
      </c>
      <c r="C184" s="39" t="s">
        <v>1183</v>
      </c>
      <c r="D184" s="39" t="s">
        <v>1178</v>
      </c>
      <c r="E184" s="29" t="s">
        <v>588</v>
      </c>
      <c r="F184" s="30" t="s">
        <v>570</v>
      </c>
      <c r="G184" s="30" t="s">
        <v>461</v>
      </c>
      <c r="H184" s="31" t="s">
        <v>453</v>
      </c>
      <c r="I184" s="32" t="s">
        <v>7</v>
      </c>
    </row>
    <row r="185" spans="1:9" ht="18" customHeight="1">
      <c r="A185" s="20" t="str">
        <f t="shared" si="3"/>
        <v>PR ESTOURADO</v>
      </c>
      <c r="B185" s="28" t="s">
        <v>857</v>
      </c>
      <c r="C185" s="39" t="s">
        <v>1183</v>
      </c>
      <c r="D185" s="39" t="s">
        <v>1178</v>
      </c>
      <c r="E185" s="29" t="s">
        <v>682</v>
      </c>
      <c r="F185" s="30" t="s">
        <v>586</v>
      </c>
      <c r="G185" s="30" t="s">
        <v>461</v>
      </c>
      <c r="H185" s="31" t="s">
        <v>470</v>
      </c>
      <c r="I185" s="32" t="s">
        <v>8</v>
      </c>
    </row>
    <row r="186" spans="1:9" ht="18" customHeight="1">
      <c r="A186" s="20" t="str">
        <f t="shared" si="3"/>
        <v>PR TRINCADO</v>
      </c>
      <c r="B186" s="28" t="s">
        <v>858</v>
      </c>
      <c r="C186" s="39" t="s">
        <v>1183</v>
      </c>
      <c r="D186" s="39" t="s">
        <v>1178</v>
      </c>
      <c r="E186" s="29" t="s">
        <v>683</v>
      </c>
      <c r="F186" s="30" t="s">
        <v>586</v>
      </c>
      <c r="G186" s="30" t="s">
        <v>461</v>
      </c>
      <c r="H186" s="31" t="s">
        <v>470</v>
      </c>
      <c r="I186" s="32" t="s">
        <v>8</v>
      </c>
    </row>
    <row r="187" spans="1:9" ht="18" customHeight="1">
      <c r="A187" s="20" t="str">
        <f t="shared" si="3"/>
        <v>PARAFUSO DE FIXAÇ. DO PR  OXIDAÇÃO F1/F2</v>
      </c>
      <c r="B187" s="28" t="s">
        <v>859</v>
      </c>
      <c r="C187" s="39" t="s">
        <v>1183</v>
      </c>
      <c r="D187" s="39" t="s">
        <v>1178</v>
      </c>
      <c r="E187" s="29" t="s">
        <v>878</v>
      </c>
      <c r="F187" s="30" t="s">
        <v>477</v>
      </c>
      <c r="G187" s="30" t="s">
        <v>461</v>
      </c>
      <c r="H187" s="31" t="s">
        <v>453</v>
      </c>
      <c r="I187" s="32" t="s">
        <v>6</v>
      </c>
    </row>
    <row r="188" spans="1:9" ht="18" customHeight="1">
      <c r="A188" s="20" t="str">
        <f t="shared" si="3"/>
        <v>PARAFUSO DE FIXAÇÃO DO PR  OXIDAÇÃO F3</v>
      </c>
      <c r="B188" s="28" t="s">
        <v>860</v>
      </c>
      <c r="C188" s="39" t="s">
        <v>1183</v>
      </c>
      <c r="D188" s="39" t="s">
        <v>1178</v>
      </c>
      <c r="E188" s="29" t="s">
        <v>684</v>
      </c>
      <c r="F188" s="30" t="s">
        <v>477</v>
      </c>
      <c r="G188" s="30" t="s">
        <v>461</v>
      </c>
      <c r="H188" s="31" t="s">
        <v>453</v>
      </c>
      <c r="I188" s="32" t="s">
        <v>7</v>
      </c>
    </row>
    <row r="189" spans="1:9" ht="18" customHeight="1">
      <c r="A189" s="20" t="str">
        <f t="shared" si="3"/>
        <v>PARAFUSO DE FIXAÇ. DO PR  OXIDAÇÃO F4/F5</v>
      </c>
      <c r="B189" s="28" t="s">
        <v>861</v>
      </c>
      <c r="C189" s="39" t="s">
        <v>1183</v>
      </c>
      <c r="D189" s="39" t="s">
        <v>1178</v>
      </c>
      <c r="E189" s="29" t="s">
        <v>879</v>
      </c>
      <c r="F189" s="30" t="s">
        <v>477</v>
      </c>
      <c r="G189" s="30" t="s">
        <v>461</v>
      </c>
      <c r="H189" s="31" t="s">
        <v>453</v>
      </c>
      <c r="I189" s="32" t="s">
        <v>8</v>
      </c>
    </row>
    <row r="190" spans="1:9" ht="18" customHeight="1">
      <c r="A190" s="20" t="str">
        <f t="shared" si="3"/>
        <v>ESFERAS DE SINALIZAÇÃO DANIFICADAS</v>
      </c>
      <c r="B190" s="28" t="s">
        <v>862</v>
      </c>
      <c r="C190" s="29" t="s">
        <v>405</v>
      </c>
      <c r="D190" s="29" t="s">
        <v>405</v>
      </c>
      <c r="E190" s="29" t="s">
        <v>431</v>
      </c>
      <c r="F190" s="30" t="s">
        <v>599</v>
      </c>
      <c r="G190" s="30" t="s">
        <v>461</v>
      </c>
      <c r="H190" s="31" t="s">
        <v>453</v>
      </c>
      <c r="I190" s="32" t="s">
        <v>6</v>
      </c>
    </row>
    <row r="191" spans="1:9" ht="18" customHeight="1">
      <c r="A191" s="20" t="str">
        <f t="shared" si="3"/>
        <v>ESFERAS DE SINALIZAÇÃO FOLGADAS</v>
      </c>
      <c r="B191" s="28" t="s">
        <v>864</v>
      </c>
      <c r="C191" s="29" t="s">
        <v>405</v>
      </c>
      <c r="D191" s="29" t="s">
        <v>405</v>
      </c>
      <c r="E191" s="29" t="s">
        <v>432</v>
      </c>
      <c r="F191" s="30" t="s">
        <v>600</v>
      </c>
      <c r="G191" s="30" t="s">
        <v>461</v>
      </c>
      <c r="H191" s="31" t="s">
        <v>453</v>
      </c>
      <c r="I191" s="32" t="s">
        <v>6</v>
      </c>
    </row>
    <row r="192" spans="1:9" ht="18" customHeight="1">
      <c r="A192" s="20" t="str">
        <f t="shared" si="3"/>
        <v>PINTURA SINALIZAÇÃO DESBOTADA</v>
      </c>
      <c r="B192" s="28" t="s">
        <v>865</v>
      </c>
      <c r="C192" s="29" t="s">
        <v>405</v>
      </c>
      <c r="D192" s="29" t="s">
        <v>405</v>
      </c>
      <c r="E192" s="29" t="s">
        <v>433</v>
      </c>
      <c r="F192" s="30" t="s">
        <v>601</v>
      </c>
      <c r="G192" s="30" t="s">
        <v>461</v>
      </c>
      <c r="H192" s="31" t="s">
        <v>453</v>
      </c>
      <c r="I192" s="32" t="s">
        <v>6</v>
      </c>
    </row>
    <row r="193" spans="1:9" ht="18" customHeight="1">
      <c r="A193" s="20" t="str">
        <f t="shared" si="3"/>
        <v>PINTURA SINALIZAÇÃO INEXISTENTE</v>
      </c>
      <c r="B193" s="28" t="s">
        <v>866</v>
      </c>
      <c r="C193" s="29" t="s">
        <v>405</v>
      </c>
      <c r="D193" s="29" t="s">
        <v>405</v>
      </c>
      <c r="E193" s="29" t="s">
        <v>434</v>
      </c>
      <c r="F193" s="30" t="s">
        <v>601</v>
      </c>
      <c r="G193" s="30" t="s">
        <v>461</v>
      </c>
      <c r="H193" s="31" t="s">
        <v>453</v>
      </c>
      <c r="I193" s="32" t="s">
        <v>6</v>
      </c>
    </row>
    <row r="194" spans="1:9" ht="18" customHeight="1">
      <c r="A194" s="20" t="str">
        <f t="shared" si="3"/>
        <v>PLACAS DE SINALIZAÇÃO DANIFICADAS</v>
      </c>
      <c r="B194" s="28" t="s">
        <v>867</v>
      </c>
      <c r="C194" s="29" t="s">
        <v>405</v>
      </c>
      <c r="D194" s="29" t="s">
        <v>405</v>
      </c>
      <c r="E194" s="29" t="s">
        <v>435</v>
      </c>
      <c r="F194" s="30" t="s">
        <v>602</v>
      </c>
      <c r="G194" s="30" t="s">
        <v>461</v>
      </c>
      <c r="H194" s="31" t="s">
        <v>453</v>
      </c>
      <c r="I194" s="32" t="s">
        <v>6</v>
      </c>
    </row>
    <row r="195" spans="1:9" ht="18" customHeight="1">
      <c r="A195" s="20" t="str">
        <f t="shared" si="3"/>
        <v>SINALIZAÇÃO NECESÁRIA - INEXISTENTE</v>
      </c>
      <c r="B195" s="28" t="s">
        <v>868</v>
      </c>
      <c r="C195" s="29" t="s">
        <v>405</v>
      </c>
      <c r="D195" s="29" t="s">
        <v>405</v>
      </c>
      <c r="E195" s="29" t="s">
        <v>436</v>
      </c>
      <c r="F195" s="30" t="s">
        <v>601</v>
      </c>
      <c r="G195" s="30" t="s">
        <v>461</v>
      </c>
      <c r="H195" s="31" t="s">
        <v>453</v>
      </c>
      <c r="I195" s="32" t="s">
        <v>7</v>
      </c>
    </row>
    <row r="196" spans="1:9" ht="18" customHeight="1">
      <c r="A196" s="20" t="str">
        <f t="shared" si="3"/>
        <v xml:space="preserve"> ATERR. INADEQUADO</v>
      </c>
      <c r="B196" s="28" t="s">
        <v>863</v>
      </c>
      <c r="C196" s="29" t="s">
        <v>406</v>
      </c>
      <c r="D196" s="29" t="s">
        <v>1167</v>
      </c>
      <c r="E196" s="29" t="s">
        <v>596</v>
      </c>
      <c r="F196" s="30" t="s">
        <v>597</v>
      </c>
      <c r="G196" s="30" t="s">
        <v>461</v>
      </c>
      <c r="H196" s="31" t="s">
        <v>453</v>
      </c>
      <c r="I196" s="32" t="s">
        <v>7</v>
      </c>
    </row>
    <row r="197" spans="1:9" ht="18" customHeight="1">
      <c r="A197" s="20" t="str">
        <f t="shared" si="3"/>
        <v xml:space="preserve"> ATERR. OXIDADO F1/F2</v>
      </c>
      <c r="B197" s="28" t="s">
        <v>869</v>
      </c>
      <c r="C197" s="29" t="s">
        <v>406</v>
      </c>
      <c r="D197" s="29" t="s">
        <v>1167</v>
      </c>
      <c r="E197" s="29" t="s">
        <v>598</v>
      </c>
      <c r="F197" s="30" t="s">
        <v>597</v>
      </c>
      <c r="G197" s="30" t="s">
        <v>461</v>
      </c>
      <c r="H197" s="31" t="s">
        <v>453</v>
      </c>
      <c r="I197" s="32" t="s">
        <v>6</v>
      </c>
    </row>
    <row r="198" spans="1:9" ht="18" customHeight="1">
      <c r="A198" s="20" t="str">
        <f t="shared" si="3"/>
        <v xml:space="preserve"> ATERR. OXIDADO F3</v>
      </c>
      <c r="B198" s="28" t="s">
        <v>870</v>
      </c>
      <c r="C198" s="29" t="s">
        <v>406</v>
      </c>
      <c r="D198" s="29" t="s">
        <v>1167</v>
      </c>
      <c r="E198" s="58" t="s">
        <v>1397</v>
      </c>
      <c r="F198" s="30" t="s">
        <v>597</v>
      </c>
      <c r="G198" s="30" t="s">
        <v>461</v>
      </c>
      <c r="H198" s="31" t="s">
        <v>453</v>
      </c>
      <c r="I198" s="32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8" t="s">
        <v>871</v>
      </c>
      <c r="C199" s="29" t="s">
        <v>406</v>
      </c>
      <c r="D199" s="29" t="s">
        <v>1167</v>
      </c>
      <c r="E199" s="58" t="s">
        <v>1398</v>
      </c>
      <c r="F199" s="30" t="s">
        <v>597</v>
      </c>
      <c r="G199" s="30" t="s">
        <v>461</v>
      </c>
      <c r="H199" s="31" t="s">
        <v>453</v>
      </c>
      <c r="I199" s="32" t="s">
        <v>7</v>
      </c>
    </row>
    <row r="200" spans="1:9" ht="18" customHeight="1">
      <c r="A200" s="20" t="str">
        <f t="shared" si="4"/>
        <v xml:space="preserve"> CABO ATERR. INEXISTENTE</v>
      </c>
      <c r="B200" s="28" t="s">
        <v>872</v>
      </c>
      <c r="C200" s="29" t="s">
        <v>406</v>
      </c>
      <c r="D200" s="29" t="s">
        <v>1167</v>
      </c>
      <c r="E200" s="29" t="s">
        <v>589</v>
      </c>
      <c r="F200" s="30" t="s">
        <v>590</v>
      </c>
      <c r="G200" s="30" t="s">
        <v>461</v>
      </c>
      <c r="H200" s="31" t="s">
        <v>453</v>
      </c>
      <c r="I200" s="32" t="s">
        <v>7</v>
      </c>
    </row>
    <row r="201" spans="1:9" ht="18" customHeight="1">
      <c r="A201" s="20" t="str">
        <f t="shared" si="4"/>
        <v xml:space="preserve"> HASTE DE ATERR. EXPOSTA</v>
      </c>
      <c r="B201" s="28" t="s">
        <v>873</v>
      </c>
      <c r="C201" s="29" t="s">
        <v>406</v>
      </c>
      <c r="D201" s="29" t="s">
        <v>1167</v>
      </c>
      <c r="E201" s="29" t="s">
        <v>592</v>
      </c>
      <c r="F201" s="30" t="s">
        <v>593</v>
      </c>
      <c r="G201" s="30" t="s">
        <v>461</v>
      </c>
      <c r="H201" s="31" t="s">
        <v>453</v>
      </c>
      <c r="I201" s="32" t="s">
        <v>7</v>
      </c>
    </row>
    <row r="202" spans="1:9" ht="18" customHeight="1">
      <c r="A202" s="20" t="str">
        <f t="shared" si="4"/>
        <v>ATERR DESCONEC. DA HASTE</v>
      </c>
      <c r="B202" s="28" t="s">
        <v>874</v>
      </c>
      <c r="C202" s="29" t="s">
        <v>406</v>
      </c>
      <c r="D202" s="29" t="s">
        <v>1167</v>
      </c>
      <c r="E202" s="29" t="s">
        <v>594</v>
      </c>
      <c r="F202" s="30" t="s">
        <v>595</v>
      </c>
      <c r="G202" s="30" t="s">
        <v>461</v>
      </c>
      <c r="H202" s="31" t="s">
        <v>453</v>
      </c>
      <c r="I202" s="32" t="s">
        <v>7</v>
      </c>
    </row>
    <row r="203" spans="1:9" ht="18" customHeight="1">
      <c r="A203" s="20" t="str">
        <f t="shared" si="4"/>
        <v>CABO ATERR. PARTIDO</v>
      </c>
      <c r="B203" s="28" t="s">
        <v>875</v>
      </c>
      <c r="C203" s="29" t="s">
        <v>406</v>
      </c>
      <c r="D203" s="29" t="s">
        <v>1167</v>
      </c>
      <c r="E203" s="29" t="s">
        <v>591</v>
      </c>
      <c r="F203" s="30" t="s">
        <v>590</v>
      </c>
      <c r="G203" s="30" t="s">
        <v>461</v>
      </c>
      <c r="H203" s="31" t="s">
        <v>453</v>
      </c>
      <c r="I203" s="32" t="s">
        <v>7</v>
      </c>
    </row>
    <row r="204" spans="1:9" ht="18" customHeight="1" thickBot="1">
      <c r="A204" s="20" t="str">
        <f t="shared" si="4"/>
        <v>CABO ATERR. PARTIDO NO TOPO</v>
      </c>
      <c r="B204" s="47" t="s">
        <v>1362</v>
      </c>
      <c r="C204" s="48" t="s">
        <v>406</v>
      </c>
      <c r="D204" s="49" t="s">
        <v>1167</v>
      </c>
      <c r="E204" s="50" t="s">
        <v>1350</v>
      </c>
      <c r="F204" s="51" t="s">
        <v>590</v>
      </c>
      <c r="G204" s="51" t="s">
        <v>461</v>
      </c>
      <c r="H204" s="52" t="s">
        <v>453</v>
      </c>
      <c r="I204" s="53" t="s">
        <v>7</v>
      </c>
    </row>
    <row r="207" spans="1:9" ht="18" customHeight="1">
      <c r="C207" s="45"/>
    </row>
    <row r="208" spans="1:9" ht="18" customHeight="1">
      <c r="C208" s="45"/>
    </row>
    <row r="209" spans="3:3" ht="18" customHeight="1">
      <c r="C209" s="45"/>
    </row>
    <row r="210" spans="3:3" ht="18" customHeight="1">
      <c r="C210" s="45"/>
    </row>
    <row r="211" spans="3:3" ht="18" customHeight="1">
      <c r="C211" s="45"/>
    </row>
    <row r="212" spans="3:3" ht="18" customHeight="1">
      <c r="C212" s="45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5" priority="6"/>
  </conditionalFormatting>
  <conditionalFormatting sqref="B204">
    <cfRule type="duplicateValues" dxfId="24" priority="5"/>
  </conditionalFormatting>
  <conditionalFormatting sqref="B145:B148">
    <cfRule type="duplicateValues" dxfId="23" priority="4"/>
  </conditionalFormatting>
  <conditionalFormatting sqref="B203">
    <cfRule type="duplicateValues" dxfId="22" priority="3"/>
  </conditionalFormatting>
  <conditionalFormatting sqref="B104">
    <cfRule type="duplicateValues" dxfId="21" priority="2"/>
  </conditionalFormatting>
  <conditionalFormatting sqref="B104">
    <cfRule type="duplicateValues" dxfId="20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AQ1" zoomScale="85" zoomScaleNormal="85" workbookViewId="0">
      <pane ySplit="4" topLeftCell="A5" activePane="bottomLeft" state="frozen"/>
      <selection activeCell="B138" sqref="B138"/>
      <selection pane="bottomLeft" activeCell="BE5" sqref="BE5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64" t="s">
        <v>1419</v>
      </c>
      <c r="BB3" s="164"/>
      <c r="BC3" s="164"/>
      <c r="BD3" s="164"/>
      <c r="BE3" s="166" t="s">
        <v>1424</v>
      </c>
      <c r="BF3" s="167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65"/>
      <c r="BB4" s="165"/>
      <c r="BC4" s="165"/>
      <c r="BD4" s="165"/>
      <c r="BE4" s="168"/>
      <c r="BF4" s="169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36"/>
      <c r="BC5" s="136"/>
      <c r="BD5" s="136"/>
      <c r="BF5" s="137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55" t="s">
        <v>1333</v>
      </c>
      <c r="AP6" s="156"/>
      <c r="AQ6" s="156"/>
      <c r="AR6" s="156"/>
      <c r="AS6" s="157"/>
      <c r="AU6" s="2" t="s">
        <v>35</v>
      </c>
      <c r="AV6" s="2" t="s">
        <v>1374</v>
      </c>
      <c r="BH6" s="138">
        <f>HOUR('FORM. DE INSPEÇÃO'!K3)*60+MINUTE('FORM. DE INSPEÇÃO'!K3)</f>
        <v>168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58"/>
      <c r="AP7" s="159"/>
      <c r="AQ7" s="159"/>
      <c r="AR7" s="159"/>
      <c r="AS7" s="160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58"/>
      <c r="AP8" s="159"/>
      <c r="AQ8" s="159"/>
      <c r="AR8" s="159"/>
      <c r="AS8" s="160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58"/>
      <c r="AP9" s="159"/>
      <c r="AQ9" s="159"/>
      <c r="AR9" s="159"/>
      <c r="AS9" s="160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58"/>
      <c r="AP10" s="159"/>
      <c r="AQ10" s="159"/>
      <c r="AR10" s="159"/>
      <c r="AS10" s="160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58"/>
      <c r="AP11" s="159"/>
      <c r="AQ11" s="159"/>
      <c r="AR11" s="159"/>
      <c r="AS11" s="160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58"/>
      <c r="AP12" s="159"/>
      <c r="AQ12" s="159"/>
      <c r="AR12" s="159"/>
      <c r="AS12" s="160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58"/>
      <c r="AP13" s="159"/>
      <c r="AQ13" s="159"/>
      <c r="AR13" s="159"/>
      <c r="AS13" s="160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58"/>
      <c r="AP14" s="159"/>
      <c r="AQ14" s="159"/>
      <c r="AR14" s="159"/>
      <c r="AS14" s="160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58"/>
      <c r="AP15" s="159"/>
      <c r="AQ15" s="159"/>
      <c r="AR15" s="159"/>
      <c r="AS15" s="160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58"/>
      <c r="AP16" s="159"/>
      <c r="AQ16" s="159"/>
      <c r="AR16" s="159"/>
      <c r="AS16" s="160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58"/>
      <c r="AP17" s="159"/>
      <c r="AQ17" s="159"/>
      <c r="AR17" s="159"/>
      <c r="AS17" s="160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58"/>
      <c r="AP18" s="159"/>
      <c r="AQ18" s="159"/>
      <c r="AR18" s="159"/>
      <c r="AS18" s="160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58"/>
      <c r="AP19" s="159"/>
      <c r="AQ19" s="159"/>
      <c r="AR19" s="159"/>
      <c r="AS19" s="160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1"/>
      <c r="AP20" s="162"/>
      <c r="AQ20" s="162"/>
      <c r="AR20" s="162"/>
      <c r="AS20" s="163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9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R197"/>
  <sheetViews>
    <sheetView showGridLines="0" zoomScale="60" zoomScaleNormal="60" zoomScaleSheetLayoutView="100" workbookViewId="0">
      <pane ySplit="8" topLeftCell="A9" activePane="bottomLeft" state="frozen"/>
      <selection activeCell="E27" sqref="E27"/>
      <selection pane="bottomLeft" activeCell="F33" sqref="F33"/>
    </sheetView>
  </sheetViews>
  <sheetFormatPr defaultColWidth="12.5" defaultRowHeight="12"/>
  <cols>
    <col min="1" max="1" width="8" style="65" customWidth="1"/>
    <col min="2" max="4" width="14.5" style="65" customWidth="1"/>
    <col min="5" max="5" width="18.33203125" style="65" customWidth="1"/>
    <col min="6" max="6" width="20" style="65" bestFit="1" customWidth="1"/>
    <col min="7" max="7" width="17.83203125" style="65" customWidth="1"/>
    <col min="8" max="8" width="27.6640625" style="65" bestFit="1" customWidth="1"/>
    <col min="9" max="9" width="23.83203125" style="65" bestFit="1" customWidth="1"/>
    <col min="10" max="10" width="31.33203125" style="65" customWidth="1"/>
    <col min="11" max="11" width="21.6640625" style="65" customWidth="1"/>
    <col min="12" max="12" width="12.33203125" style="65" customWidth="1"/>
    <col min="13" max="13" width="14.1640625" style="65" customWidth="1"/>
    <col min="14" max="14" width="15" style="65" customWidth="1"/>
    <col min="15" max="15" width="12.33203125" style="67" customWidth="1"/>
    <col min="16" max="16" width="22" style="67" customWidth="1"/>
    <col min="17" max="17" width="25.1640625" style="68" bestFit="1" customWidth="1"/>
    <col min="18" max="18" width="29.5" style="67" customWidth="1"/>
    <col min="19" max="16384" width="12.5" style="65"/>
  </cols>
  <sheetData>
    <row r="1" spans="1:18" ht="34.5" customHeight="1">
      <c r="A1" s="186"/>
      <c r="B1" s="187"/>
      <c r="C1" s="187"/>
      <c r="D1" s="187"/>
      <c r="E1" s="187"/>
      <c r="F1" s="190" t="s">
        <v>1433</v>
      </c>
      <c r="G1" s="190"/>
      <c r="H1" s="190"/>
      <c r="I1" s="190"/>
      <c r="J1" s="190"/>
      <c r="K1" s="192" t="s">
        <v>1419</v>
      </c>
      <c r="L1" s="193"/>
      <c r="M1" s="192" t="s">
        <v>1438</v>
      </c>
      <c r="N1" s="193"/>
      <c r="O1" s="166" t="s">
        <v>361</v>
      </c>
      <c r="P1" s="166"/>
      <c r="Q1" s="170" t="s">
        <v>1424</v>
      </c>
      <c r="R1" s="170" t="s">
        <v>1439</v>
      </c>
    </row>
    <row r="2" spans="1:18" ht="14.25" customHeight="1">
      <c r="A2" s="188"/>
      <c r="B2" s="189"/>
      <c r="C2" s="189"/>
      <c r="D2" s="189"/>
      <c r="E2" s="189"/>
      <c r="F2" s="191"/>
      <c r="G2" s="191"/>
      <c r="H2" s="191"/>
      <c r="I2" s="191"/>
      <c r="J2" s="191"/>
      <c r="K2" s="194"/>
      <c r="L2" s="195"/>
      <c r="M2" s="194"/>
      <c r="N2" s="195"/>
      <c r="O2" s="168"/>
      <c r="P2" s="168"/>
      <c r="Q2" s="171"/>
      <c r="R2" s="171"/>
    </row>
    <row r="3" spans="1:18" ht="39" customHeight="1">
      <c r="A3" s="188"/>
      <c r="B3" s="189"/>
      <c r="C3" s="189"/>
      <c r="D3" s="189"/>
      <c r="E3" s="189"/>
      <c r="F3" s="191"/>
      <c r="G3" s="191"/>
      <c r="H3" s="191"/>
      <c r="I3" s="191"/>
      <c r="J3" s="191"/>
      <c r="K3" s="196">
        <f>SUMIF('FORM. DE INSPEÇÃO'!H9:H1048576,"DESLOCAMENTO",'FORM. DE INSPEÇÃO'!$D$9:$D$1048576)-SUMIF('FORM. DE INSPEÇÃO'!H9:H1048576,"DESLOCAMENTO",'FORM. DE INSPEÇÃO'!$C$9:$C$1048576)</f>
        <v>0.11666666666666714</v>
      </c>
      <c r="L3" s="197"/>
      <c r="M3" s="198">
        <f>(HOUR('FORM. DE INSPEÇÃO'!K3)*60+MINUTE('FORM. DE INSPEÇÃO'!K3))/60</f>
        <v>2.8</v>
      </c>
      <c r="N3" s="199"/>
      <c r="O3" s="184" t="str">
        <f>IF(G5="","",G5)</f>
        <v>MINUCIOSA</v>
      </c>
      <c r="P3" s="185"/>
      <c r="Q3" s="134">
        <f>(SUMIF('FORM. DE INSPEÇÃO'!H9:H1048576,"&lt;&gt; ",'FORM. DE INSPEÇÃO'!$D$9:$D$1048576)-SUMIF('FORM. DE INSPEÇÃO'!H9:H1048576,"&lt;&gt; ",'FORM. DE INSPEÇÃO'!$C$9:$C$1048576))-'FORM. DE INSPEÇÃO'!K3</f>
        <v>0.72777777777777608</v>
      </c>
      <c r="R3" s="139">
        <f>(HOUR(Q3)*60+MINUTE(Q3))/60</f>
        <v>17.466666666666665</v>
      </c>
    </row>
    <row r="4" spans="1:18" s="66" customFormat="1" ht="45" customHeight="1">
      <c r="A4" s="218" t="s">
        <v>21</v>
      </c>
      <c r="B4" s="174"/>
      <c r="C4" s="219" t="s">
        <v>358</v>
      </c>
      <c r="D4" s="219"/>
      <c r="E4" s="106" t="s">
        <v>359</v>
      </c>
      <c r="F4" s="106" t="s">
        <v>1425</v>
      </c>
      <c r="G4" s="106" t="s">
        <v>361</v>
      </c>
      <c r="H4" s="106" t="s">
        <v>13</v>
      </c>
      <c r="I4" s="107" t="s">
        <v>12</v>
      </c>
      <c r="J4" s="133" t="s">
        <v>1437</v>
      </c>
      <c r="K4" s="182" t="s">
        <v>367</v>
      </c>
      <c r="L4" s="183"/>
      <c r="M4" s="174" t="s">
        <v>368</v>
      </c>
      <c r="N4" s="174"/>
      <c r="O4" s="174"/>
      <c r="P4" s="174" t="s">
        <v>368</v>
      </c>
      <c r="Q4" s="174"/>
      <c r="R4" s="175"/>
    </row>
    <row r="5" spans="1:18" s="66" customFormat="1" ht="30.75" customHeight="1" thickBot="1">
      <c r="A5" s="216" t="s">
        <v>11</v>
      </c>
      <c r="B5" s="217"/>
      <c r="C5" s="176" t="s">
        <v>333</v>
      </c>
      <c r="D5" s="176"/>
      <c r="E5" s="103" t="str">
        <f>IFERROR(VLOOKUP(C5,'INFORMÇAÕES '!$C$5:$E$1048576,3,0),"")</f>
        <v>IPZ/IPC-C1-02L2</v>
      </c>
      <c r="F5" s="103" t="str">
        <f>IFERROR(VLOOKUP(C5,'INFORMÇAÕES '!$C$5:$L$1048576,5,0),"")</f>
        <v>69KV / 13,59 KM</v>
      </c>
      <c r="G5" s="104" t="s">
        <v>362</v>
      </c>
      <c r="H5" s="105">
        <v>6000245260</v>
      </c>
      <c r="I5" s="105">
        <v>2268247</v>
      </c>
      <c r="J5" s="105">
        <v>252012</v>
      </c>
      <c r="K5" s="180" t="s">
        <v>1384</v>
      </c>
      <c r="L5" s="181"/>
      <c r="M5" s="176" t="s">
        <v>1385</v>
      </c>
      <c r="N5" s="176"/>
      <c r="O5" s="176"/>
      <c r="P5" s="176"/>
      <c r="Q5" s="176"/>
      <c r="R5" s="177"/>
    </row>
    <row r="6" spans="1:18" ht="6.75" customHeight="1" thickBot="1"/>
    <row r="7" spans="1:18" ht="21.6" customHeight="1">
      <c r="A7" s="202" t="s">
        <v>1</v>
      </c>
      <c r="B7" s="208" t="s">
        <v>1420</v>
      </c>
      <c r="C7" s="210" t="s">
        <v>1432</v>
      </c>
      <c r="D7" s="211"/>
      <c r="E7" s="204" t="s">
        <v>369</v>
      </c>
      <c r="F7" s="172" t="s">
        <v>373</v>
      </c>
      <c r="G7" s="172" t="s">
        <v>374</v>
      </c>
      <c r="H7" s="172" t="s">
        <v>375</v>
      </c>
      <c r="I7" s="172" t="s">
        <v>1182</v>
      </c>
      <c r="J7" s="212" t="s">
        <v>377</v>
      </c>
      <c r="K7" s="213"/>
      <c r="L7" s="172" t="s">
        <v>376</v>
      </c>
      <c r="M7" s="172" t="s">
        <v>5</v>
      </c>
      <c r="N7" s="206" t="s">
        <v>384</v>
      </c>
      <c r="O7" s="207"/>
      <c r="P7" s="172" t="s">
        <v>392</v>
      </c>
      <c r="Q7" s="172" t="s">
        <v>395</v>
      </c>
      <c r="R7" s="178" t="s">
        <v>393</v>
      </c>
    </row>
    <row r="8" spans="1:18" ht="30.75" customHeight="1" thickBot="1">
      <c r="A8" s="203"/>
      <c r="B8" s="209"/>
      <c r="C8" s="108" t="s">
        <v>1421</v>
      </c>
      <c r="D8" s="108" t="s">
        <v>1422</v>
      </c>
      <c r="E8" s="205"/>
      <c r="F8" s="173"/>
      <c r="G8" s="173"/>
      <c r="H8" s="173"/>
      <c r="I8" s="173"/>
      <c r="J8" s="214"/>
      <c r="K8" s="215"/>
      <c r="L8" s="173"/>
      <c r="M8" s="173"/>
      <c r="N8" s="109" t="s">
        <v>383</v>
      </c>
      <c r="O8" s="109" t="s">
        <v>385</v>
      </c>
      <c r="P8" s="173"/>
      <c r="Q8" s="173"/>
      <c r="R8" s="179"/>
    </row>
    <row r="9" spans="1:18">
      <c r="A9" s="69">
        <f>IF(H9="","",1)</f>
        <v>1</v>
      </c>
      <c r="B9" s="70">
        <v>43416</v>
      </c>
      <c r="C9" s="71">
        <v>0.58611111111111114</v>
      </c>
      <c r="D9" s="71">
        <v>0.61111111111111105</v>
      </c>
      <c r="E9" s="72"/>
      <c r="F9" s="73"/>
      <c r="G9" s="73"/>
      <c r="H9" s="74" t="s">
        <v>1423</v>
      </c>
      <c r="I9" s="74"/>
      <c r="J9" s="201"/>
      <c r="K9" s="201"/>
      <c r="L9" s="75" t="str">
        <f>IFERROR(VLOOKUP(J9,'TABELA DE DEFEITOS'!$A$4:$B$1048576,2,0),"")</f>
        <v/>
      </c>
      <c r="M9" s="76" t="str">
        <f>IFERROR(VLOOKUP(J9,'TABELA DE DEFEITOS'!$A$4:$I$1048576,9,0),"")</f>
        <v/>
      </c>
      <c r="N9" s="73"/>
      <c r="O9" s="77"/>
      <c r="P9" s="77"/>
      <c r="Q9" s="78"/>
      <c r="R9" s="79"/>
    </row>
    <row r="10" spans="1:18">
      <c r="A10" s="69">
        <f>IF(H10="","",A9+1)</f>
        <v>2</v>
      </c>
      <c r="B10" s="70">
        <v>43416</v>
      </c>
      <c r="C10" s="71">
        <v>0.6118055555555556</v>
      </c>
      <c r="D10" s="71"/>
      <c r="E10" s="72"/>
      <c r="F10" s="73"/>
      <c r="G10" s="73"/>
      <c r="H10" s="74" t="s">
        <v>439</v>
      </c>
      <c r="I10" s="74"/>
      <c r="J10" s="201"/>
      <c r="K10" s="201"/>
      <c r="L10" s="75" t="str">
        <f>IFERROR(VLOOKUP(J10,'TABELA DE DEFEITOS'!$A$4:$B$1048576,2,0),"")</f>
        <v/>
      </c>
      <c r="M10" s="76" t="str">
        <f>IFERROR(VLOOKUP(J10,'TABELA DE DEFEITOS'!$A$4:$I$1048576,9,0),"")</f>
        <v/>
      </c>
      <c r="N10" s="73"/>
      <c r="O10" s="77"/>
      <c r="P10" s="77"/>
      <c r="Q10" s="78"/>
      <c r="R10" s="79"/>
    </row>
    <row r="11" spans="1:18">
      <c r="A11" s="69">
        <f t="shared" ref="A11:A74" si="0">IF(H11="","",A10+1)</f>
        <v>3</v>
      </c>
      <c r="B11" s="70">
        <v>43416</v>
      </c>
      <c r="C11" s="80"/>
      <c r="D11" s="71">
        <v>0.75694444444444453</v>
      </c>
      <c r="E11" s="72"/>
      <c r="F11" s="73"/>
      <c r="G11" s="73"/>
      <c r="H11" s="74" t="s">
        <v>439</v>
      </c>
      <c r="I11" s="74"/>
      <c r="J11" s="201"/>
      <c r="K11" s="201"/>
      <c r="L11" s="75" t="str">
        <f>IFERROR(VLOOKUP(J11,'TABELA DE DEFEITOS'!$A$4:$B$1048576,2,0),"")</f>
        <v/>
      </c>
      <c r="M11" s="76" t="str">
        <f>IFERROR(VLOOKUP(J11,'TABELA DE DEFEITOS'!$A$4:$I$1048576,9,0),"")</f>
        <v/>
      </c>
      <c r="N11" s="73"/>
      <c r="O11" s="77"/>
      <c r="P11" s="77"/>
      <c r="Q11" s="78"/>
      <c r="R11" s="79"/>
    </row>
    <row r="12" spans="1:18">
      <c r="A12" s="69">
        <f t="shared" si="0"/>
        <v>4</v>
      </c>
      <c r="B12" s="70">
        <v>43416</v>
      </c>
      <c r="C12" s="71">
        <v>0.75763888888888886</v>
      </c>
      <c r="D12" s="71">
        <v>0.76874999999999993</v>
      </c>
      <c r="E12" s="72"/>
      <c r="F12" s="73"/>
      <c r="G12" s="73"/>
      <c r="H12" s="74" t="s">
        <v>1423</v>
      </c>
      <c r="I12" s="74"/>
      <c r="J12" s="201"/>
      <c r="K12" s="201"/>
      <c r="L12" s="75" t="str">
        <f>IFERROR(VLOOKUP(J12,'TABELA DE DEFEITOS'!$A$4:$B$1048576,2,0),"")</f>
        <v/>
      </c>
      <c r="M12" s="76" t="str">
        <f>IFERROR(VLOOKUP(J12,'TABELA DE DEFEITOS'!$A$4:$I$1048576,9,0),"")</f>
        <v/>
      </c>
      <c r="N12" s="73"/>
      <c r="O12" s="77"/>
      <c r="P12" s="77"/>
      <c r="Q12" s="78"/>
      <c r="R12" s="79"/>
    </row>
    <row r="13" spans="1:18">
      <c r="A13" s="69">
        <f t="shared" si="0"/>
        <v>5</v>
      </c>
      <c r="B13" s="70">
        <v>43417</v>
      </c>
      <c r="C13" s="71">
        <v>0.36041666666666666</v>
      </c>
      <c r="D13" s="71">
        <v>0.37847222222222227</v>
      </c>
      <c r="E13" s="72"/>
      <c r="F13" s="73"/>
      <c r="G13" s="73"/>
      <c r="H13" s="74" t="s">
        <v>1423</v>
      </c>
      <c r="I13" s="74"/>
      <c r="J13" s="201"/>
      <c r="K13" s="201"/>
      <c r="L13" s="75" t="str">
        <f>IFERROR(VLOOKUP(J13,'TABELA DE DEFEITOS'!$A$4:$B$1048576,2,0),"")</f>
        <v/>
      </c>
      <c r="M13" s="76" t="str">
        <f>IFERROR(VLOOKUP(J13,'TABELA DE DEFEITOS'!$A$4:$I$1048576,9,0),"")</f>
        <v/>
      </c>
      <c r="N13" s="73"/>
      <c r="O13" s="77"/>
      <c r="P13" s="77"/>
      <c r="Q13" s="78"/>
      <c r="R13" s="79"/>
    </row>
    <row r="14" spans="1:18">
      <c r="A14" s="69">
        <f t="shared" si="0"/>
        <v>6</v>
      </c>
      <c r="B14" s="70">
        <v>43417</v>
      </c>
      <c r="C14" s="71">
        <v>0.37916666666666665</v>
      </c>
      <c r="D14" s="80"/>
      <c r="E14" s="72" t="s">
        <v>1441</v>
      </c>
      <c r="F14" s="73" t="s">
        <v>371</v>
      </c>
      <c r="G14" s="73" t="s">
        <v>1389</v>
      </c>
      <c r="H14" s="74" t="s">
        <v>403</v>
      </c>
      <c r="I14" s="74" t="s">
        <v>882</v>
      </c>
      <c r="J14" s="201" t="s">
        <v>422</v>
      </c>
      <c r="K14" s="201"/>
      <c r="L14" s="75" t="str">
        <f>IFERROR(VLOOKUP(J14,'TABELA DE DEFEITOS'!$A$4:$B$1048576,2,0),"")</f>
        <v>ES27</v>
      </c>
      <c r="M14" s="76" t="str">
        <f>IFERROR(VLOOKUP(J14,'TABELA DE DEFEITOS'!$A$4:$I$1048576,9,0),"")</f>
        <v>A</v>
      </c>
      <c r="N14" s="73"/>
      <c r="O14" s="77">
        <v>336.4</v>
      </c>
      <c r="P14" s="77" t="s">
        <v>390</v>
      </c>
      <c r="Q14" s="78" t="s">
        <v>1334</v>
      </c>
      <c r="R14" s="79"/>
    </row>
    <row r="15" spans="1:18">
      <c r="A15" s="69">
        <f t="shared" si="0"/>
        <v>7</v>
      </c>
      <c r="B15" s="70">
        <v>43417</v>
      </c>
      <c r="C15" s="80"/>
      <c r="D15" s="80"/>
      <c r="E15" s="72" t="s">
        <v>1442</v>
      </c>
      <c r="F15" s="73" t="s">
        <v>371</v>
      </c>
      <c r="G15" s="73" t="s">
        <v>1342</v>
      </c>
      <c r="H15" s="74" t="s">
        <v>1168</v>
      </c>
      <c r="I15" s="74" t="s">
        <v>459</v>
      </c>
      <c r="J15" s="201" t="s">
        <v>608</v>
      </c>
      <c r="K15" s="201"/>
      <c r="L15" s="75" t="str">
        <f>IFERROR(VLOOKUP(J15,'TABELA DE DEFEITOS'!$A$4:$B$1048576,2,0),"")</f>
        <v>AF01</v>
      </c>
      <c r="M15" s="76" t="str">
        <f>IFERROR(VLOOKUP(J15,'TABELA DE DEFEITOS'!$A$4:$I$1048576,9,0),"")</f>
        <v>P2</v>
      </c>
      <c r="N15" s="73" t="s">
        <v>43</v>
      </c>
      <c r="O15" s="77">
        <v>336.4</v>
      </c>
      <c r="P15" s="77" t="s">
        <v>391</v>
      </c>
      <c r="Q15" s="78" t="s">
        <v>401</v>
      </c>
      <c r="R15" s="79"/>
    </row>
    <row r="16" spans="1:18">
      <c r="A16" s="69">
        <f t="shared" si="0"/>
        <v>8</v>
      </c>
      <c r="B16" s="70">
        <v>43417</v>
      </c>
      <c r="C16" s="80"/>
      <c r="D16" s="71">
        <v>0.5083333333333333</v>
      </c>
      <c r="E16" s="72" t="s">
        <v>1443</v>
      </c>
      <c r="F16" s="73" t="s">
        <v>371</v>
      </c>
      <c r="G16" s="73" t="s">
        <v>1342</v>
      </c>
      <c r="H16" s="74" t="s">
        <v>1168</v>
      </c>
      <c r="I16" s="74" t="s">
        <v>459</v>
      </c>
      <c r="J16" s="201" t="s">
        <v>608</v>
      </c>
      <c r="K16" s="201"/>
      <c r="L16" s="75" t="str">
        <f>IFERROR(VLOOKUP(J16,'TABELA DE DEFEITOS'!$A$4:$B$1048576,2,0),"")</f>
        <v>AF01</v>
      </c>
      <c r="M16" s="76" t="str">
        <f>IFERROR(VLOOKUP(J16,'TABELA DE DEFEITOS'!$A$4:$I$1048576,9,0),"")</f>
        <v>P2</v>
      </c>
      <c r="N16" s="73" t="s">
        <v>43</v>
      </c>
      <c r="O16" s="77">
        <v>336.4</v>
      </c>
      <c r="P16" s="77" t="s">
        <v>391</v>
      </c>
      <c r="Q16" s="78" t="s">
        <v>401</v>
      </c>
      <c r="R16" s="79"/>
    </row>
    <row r="17" spans="1:18">
      <c r="A17" s="69">
        <f t="shared" si="0"/>
        <v>9</v>
      </c>
      <c r="B17" s="70">
        <v>43417</v>
      </c>
      <c r="C17" s="71">
        <v>0.50902777777777775</v>
      </c>
      <c r="D17" s="71">
        <v>0.51388888888888895</v>
      </c>
      <c r="E17" s="72"/>
      <c r="F17" s="73"/>
      <c r="G17" s="73"/>
      <c r="H17" s="74" t="s">
        <v>1423</v>
      </c>
      <c r="I17" s="74"/>
      <c r="J17" s="201"/>
      <c r="K17" s="201"/>
      <c r="L17" s="75" t="str">
        <f>IFERROR(VLOOKUP(J17,'TABELA DE DEFEITOS'!$A$4:$B$1048576,2,0),"")</f>
        <v/>
      </c>
      <c r="M17" s="76" t="str">
        <f>IFERROR(VLOOKUP(J17,'TABELA DE DEFEITOS'!$A$4:$I$1048576,9,0),"")</f>
        <v/>
      </c>
      <c r="N17" s="73"/>
      <c r="O17" s="77"/>
      <c r="P17" s="77"/>
      <c r="Q17" s="78"/>
      <c r="R17" s="79"/>
    </row>
    <row r="18" spans="1:18">
      <c r="A18" s="69">
        <f t="shared" si="0"/>
        <v>10</v>
      </c>
      <c r="B18" s="70">
        <v>43417</v>
      </c>
      <c r="C18" s="71">
        <v>0.56944444444444442</v>
      </c>
      <c r="D18" s="71">
        <v>0.57986111111111105</v>
      </c>
      <c r="E18" s="72"/>
      <c r="F18" s="73"/>
      <c r="G18" s="73"/>
      <c r="H18" s="74" t="s">
        <v>1423</v>
      </c>
      <c r="I18" s="74"/>
      <c r="J18" s="201"/>
      <c r="K18" s="201"/>
      <c r="L18" s="75" t="str">
        <f>IFERROR(VLOOKUP(J18,'TABELA DE DEFEITOS'!$A$4:$B$1048576,2,0),"")</f>
        <v/>
      </c>
      <c r="M18" s="76" t="str">
        <f>IFERROR(VLOOKUP(J18,'TABELA DE DEFEITOS'!$A$4:$I$1048576,9,0),"")</f>
        <v/>
      </c>
      <c r="N18" s="73"/>
      <c r="O18" s="77"/>
      <c r="P18" s="77"/>
      <c r="Q18" s="78"/>
      <c r="R18" s="79"/>
    </row>
    <row r="19" spans="1:18">
      <c r="A19" s="69">
        <f t="shared" si="0"/>
        <v>11</v>
      </c>
      <c r="B19" s="70">
        <v>43417</v>
      </c>
      <c r="C19" s="71">
        <v>0.5805555555555556</v>
      </c>
      <c r="D19" s="80"/>
      <c r="E19" s="72"/>
      <c r="F19" s="73"/>
      <c r="G19" s="73"/>
      <c r="H19" s="74" t="s">
        <v>439</v>
      </c>
      <c r="I19" s="74"/>
      <c r="J19" s="201"/>
      <c r="K19" s="201"/>
      <c r="L19" s="75" t="str">
        <f>IFERROR(VLOOKUP(J19,'TABELA DE DEFEITOS'!$A$4:$B$1048576,2,0),"")</f>
        <v/>
      </c>
      <c r="M19" s="76" t="str">
        <f>IFERROR(VLOOKUP(J19,'TABELA DE DEFEITOS'!$A$4:$I$1048576,9,0),"")</f>
        <v/>
      </c>
      <c r="N19" s="73"/>
      <c r="O19" s="77"/>
      <c r="P19" s="77"/>
      <c r="Q19" s="78"/>
      <c r="R19" s="79"/>
    </row>
    <row r="20" spans="1:18">
      <c r="A20" s="69">
        <f t="shared" si="0"/>
        <v>12</v>
      </c>
      <c r="B20" s="70">
        <v>43417</v>
      </c>
      <c r="C20" s="80"/>
      <c r="D20" s="71">
        <v>0.74791666666666667</v>
      </c>
      <c r="E20" s="72"/>
      <c r="F20" s="73"/>
      <c r="G20" s="73"/>
      <c r="H20" s="74" t="s">
        <v>439</v>
      </c>
      <c r="I20" s="74"/>
      <c r="J20" s="201"/>
      <c r="K20" s="201"/>
      <c r="L20" s="75" t="str">
        <f>IFERROR(VLOOKUP(J20,'TABELA DE DEFEITOS'!$A$4:$B$1048576,2,0),"")</f>
        <v/>
      </c>
      <c r="M20" s="76" t="str">
        <f>IFERROR(VLOOKUP(J20,'TABELA DE DEFEITOS'!$A$4:$I$1048576,9,0),"")</f>
        <v/>
      </c>
      <c r="N20" s="73"/>
      <c r="O20" s="77"/>
      <c r="P20" s="77"/>
      <c r="Q20" s="78"/>
      <c r="R20" s="79"/>
    </row>
    <row r="21" spans="1:18">
      <c r="A21" s="69">
        <f t="shared" si="0"/>
        <v>13</v>
      </c>
      <c r="B21" s="70">
        <v>43417</v>
      </c>
      <c r="C21" s="71">
        <v>0.74861111111111101</v>
      </c>
      <c r="D21" s="71">
        <v>0.75694444444444453</v>
      </c>
      <c r="E21" s="72"/>
      <c r="F21" s="73"/>
      <c r="G21" s="73"/>
      <c r="H21" s="74" t="s">
        <v>1423</v>
      </c>
      <c r="I21" s="74"/>
      <c r="J21" s="201"/>
      <c r="K21" s="201"/>
      <c r="L21" s="75" t="str">
        <f>IFERROR(VLOOKUP(J21,'TABELA DE DEFEITOS'!$A$4:$B$1048576,2,0),"")</f>
        <v/>
      </c>
      <c r="M21" s="76" t="str">
        <f>IFERROR(VLOOKUP(J21,'TABELA DE DEFEITOS'!$A$4:$I$1048576,9,0),"")</f>
        <v/>
      </c>
      <c r="N21" s="73"/>
      <c r="O21" s="77"/>
      <c r="P21" s="77"/>
      <c r="Q21" s="78"/>
      <c r="R21" s="79"/>
    </row>
    <row r="22" spans="1:18">
      <c r="A22" s="69">
        <f t="shared" si="0"/>
        <v>14</v>
      </c>
      <c r="B22" s="70">
        <v>43418</v>
      </c>
      <c r="C22" s="71">
        <v>0.35416666666666669</v>
      </c>
      <c r="D22" s="71">
        <v>0.36736111111111108</v>
      </c>
      <c r="E22" s="72"/>
      <c r="F22" s="73"/>
      <c r="G22" s="73"/>
      <c r="H22" s="74" t="s">
        <v>1423</v>
      </c>
      <c r="I22" s="74"/>
      <c r="J22" s="201"/>
      <c r="K22" s="201"/>
      <c r="L22" s="75" t="str">
        <f>IFERROR(VLOOKUP(J22,'TABELA DE DEFEITOS'!$A$4:$B$1048576,2,0),"")</f>
        <v/>
      </c>
      <c r="M22" s="76" t="str">
        <f>IFERROR(VLOOKUP(J22,'TABELA DE DEFEITOS'!$A$4:$I$1048576,9,0),"")</f>
        <v/>
      </c>
      <c r="N22" s="73"/>
      <c r="O22" s="77"/>
      <c r="P22" s="77"/>
      <c r="Q22" s="78"/>
      <c r="R22" s="79"/>
    </row>
    <row r="23" spans="1:18">
      <c r="A23" s="69">
        <f t="shared" si="0"/>
        <v>15</v>
      </c>
      <c r="B23" s="70">
        <v>43418</v>
      </c>
      <c r="C23" s="71">
        <v>0.36805555555555558</v>
      </c>
      <c r="D23" s="80"/>
      <c r="E23" s="72"/>
      <c r="F23" s="73"/>
      <c r="G23" s="73"/>
      <c r="H23" s="74" t="s">
        <v>439</v>
      </c>
      <c r="I23" s="74"/>
      <c r="J23" s="201"/>
      <c r="K23" s="201"/>
      <c r="L23" s="75" t="str">
        <f>IFERROR(VLOOKUP(J23,'TABELA DE DEFEITOS'!$A$4:$B$1048576,2,0),"")</f>
        <v/>
      </c>
      <c r="M23" s="76" t="str">
        <f>IFERROR(VLOOKUP(J23,'TABELA DE DEFEITOS'!$A$4:$I$1048576,9,0),"")</f>
        <v/>
      </c>
      <c r="N23" s="73"/>
      <c r="O23" s="77"/>
      <c r="P23" s="77"/>
      <c r="Q23" s="78"/>
      <c r="R23" s="79"/>
    </row>
    <row r="24" spans="1:18">
      <c r="A24" s="69">
        <f t="shared" si="0"/>
        <v>16</v>
      </c>
      <c r="B24" s="70">
        <v>43418</v>
      </c>
      <c r="C24" s="80"/>
      <c r="D24" s="71">
        <v>0.49722222222222223</v>
      </c>
      <c r="E24" s="72"/>
      <c r="F24" s="73"/>
      <c r="G24" s="73"/>
      <c r="H24" s="74" t="s">
        <v>439</v>
      </c>
      <c r="I24" s="74"/>
      <c r="J24" s="201"/>
      <c r="K24" s="201"/>
      <c r="L24" s="75" t="str">
        <f>IFERROR(VLOOKUP(J24,'TABELA DE DEFEITOS'!$A$4:$B$1048576,2,0),"")</f>
        <v/>
      </c>
      <c r="M24" s="76" t="str">
        <f>IFERROR(VLOOKUP(J24,'TABELA DE DEFEITOS'!$A$4:$I$1048576,9,0),"")</f>
        <v/>
      </c>
      <c r="N24" s="73"/>
      <c r="O24" s="77"/>
      <c r="P24" s="77"/>
      <c r="Q24" s="78"/>
      <c r="R24" s="79"/>
    </row>
    <row r="25" spans="1:18">
      <c r="A25" s="69">
        <f t="shared" si="0"/>
        <v>17</v>
      </c>
      <c r="B25" s="70">
        <v>43418</v>
      </c>
      <c r="C25" s="71">
        <v>0.49791666666666662</v>
      </c>
      <c r="D25" s="71">
        <v>0.50972222222222219</v>
      </c>
      <c r="E25" s="72"/>
      <c r="F25" s="73"/>
      <c r="G25" s="73"/>
      <c r="H25" s="74" t="s">
        <v>1423</v>
      </c>
      <c r="I25" s="74"/>
      <c r="J25" s="201"/>
      <c r="K25" s="201"/>
      <c r="L25" s="75" t="str">
        <f>IFERROR(VLOOKUP(J25,'TABELA DE DEFEITOS'!$A$4:$B$1048576,2,0),"")</f>
        <v/>
      </c>
      <c r="M25" s="76" t="str">
        <f>IFERROR(VLOOKUP(J25,'TABELA DE DEFEITOS'!$A$4:$I$1048576,9,0),"")</f>
        <v/>
      </c>
      <c r="N25" s="73"/>
      <c r="O25" s="77"/>
      <c r="P25" s="77"/>
      <c r="Q25" s="78"/>
      <c r="R25" s="79"/>
    </row>
    <row r="26" spans="1:18">
      <c r="A26" s="69">
        <f t="shared" si="0"/>
        <v>18</v>
      </c>
      <c r="B26" s="70">
        <v>43418</v>
      </c>
      <c r="C26" s="71">
        <v>0.57638888888888895</v>
      </c>
      <c r="D26" s="71">
        <v>0.59027777777777779</v>
      </c>
      <c r="E26" s="72"/>
      <c r="F26" s="73"/>
      <c r="G26" s="73"/>
      <c r="H26" s="74" t="s">
        <v>1423</v>
      </c>
      <c r="I26" s="74"/>
      <c r="J26" s="201"/>
      <c r="K26" s="201"/>
      <c r="L26" s="75" t="str">
        <f>IFERROR(VLOOKUP(J26,'TABELA DE DEFEITOS'!$A$4:$B$1048576,2,0),"")</f>
        <v/>
      </c>
      <c r="M26" s="76" t="str">
        <f>IFERROR(VLOOKUP(J26,'TABELA DE DEFEITOS'!$A$4:$I$1048576,9,0),"")</f>
        <v/>
      </c>
      <c r="N26" s="73"/>
      <c r="O26" s="77"/>
      <c r="P26" s="77"/>
      <c r="Q26" s="78"/>
      <c r="R26" s="79"/>
    </row>
    <row r="27" spans="1:18">
      <c r="A27" s="69">
        <f t="shared" si="0"/>
        <v>19</v>
      </c>
      <c r="B27" s="70">
        <v>43418</v>
      </c>
      <c r="C27" s="71">
        <v>0.59097222222222223</v>
      </c>
      <c r="D27" s="71"/>
      <c r="E27" s="72"/>
      <c r="F27" s="73"/>
      <c r="G27" s="73"/>
      <c r="H27" s="74" t="s">
        <v>439</v>
      </c>
      <c r="I27" s="74"/>
      <c r="J27" s="201"/>
      <c r="K27" s="201"/>
      <c r="L27" s="75" t="str">
        <f>IFERROR(VLOOKUP(J27,'TABELA DE DEFEITOS'!$A$4:$B$1048576,2,0),"")</f>
        <v/>
      </c>
      <c r="M27" s="76" t="str">
        <f>IFERROR(VLOOKUP(J27,'TABELA DE DEFEITOS'!$A$4:$I$1048576,9,0),"")</f>
        <v/>
      </c>
      <c r="N27" s="73"/>
      <c r="O27" s="77"/>
      <c r="P27" s="77"/>
      <c r="Q27" s="78"/>
      <c r="R27" s="79"/>
    </row>
    <row r="28" spans="1:18">
      <c r="A28" s="69">
        <f t="shared" si="0"/>
        <v>20</v>
      </c>
      <c r="B28" s="70">
        <v>43418</v>
      </c>
      <c r="C28" s="80"/>
      <c r="D28" s="71">
        <v>0.74791666666666667</v>
      </c>
      <c r="E28" s="72"/>
      <c r="F28" s="73"/>
      <c r="G28" s="73"/>
      <c r="H28" s="74" t="s">
        <v>439</v>
      </c>
      <c r="I28" s="74"/>
      <c r="J28" s="201"/>
      <c r="K28" s="201"/>
      <c r="L28" s="75" t="str">
        <f>IFERROR(VLOOKUP(J28,'TABELA DE DEFEITOS'!$A$4:$B$1048576,2,0),"")</f>
        <v/>
      </c>
      <c r="M28" s="76" t="str">
        <f>IFERROR(VLOOKUP(J28,'TABELA DE DEFEITOS'!$A$4:$I$1048576,9,0),"")</f>
        <v/>
      </c>
      <c r="N28" s="73"/>
      <c r="O28" s="77"/>
      <c r="P28" s="77"/>
      <c r="Q28" s="78"/>
      <c r="R28" s="79"/>
    </row>
    <row r="29" spans="1:18">
      <c r="A29" s="69" t="str">
        <f t="shared" si="0"/>
        <v/>
      </c>
      <c r="B29" s="70"/>
      <c r="C29" s="80"/>
      <c r="D29" s="80"/>
      <c r="E29" s="72"/>
      <c r="F29" s="73"/>
      <c r="G29" s="73"/>
      <c r="H29" s="74"/>
      <c r="I29" s="74"/>
      <c r="J29" s="201"/>
      <c r="K29" s="201"/>
      <c r="L29" s="75" t="str">
        <f>IFERROR(VLOOKUP(J29,'TABELA DE DEFEITOS'!$A$4:$B$1048576,2,0),"")</f>
        <v/>
      </c>
      <c r="M29" s="76" t="str">
        <f>IFERROR(VLOOKUP(J29,'TABELA DE DEFEITOS'!$A$4:$I$1048576,9,0),"")</f>
        <v/>
      </c>
      <c r="N29" s="73"/>
      <c r="O29" s="77"/>
      <c r="P29" s="77"/>
      <c r="Q29" s="78"/>
      <c r="R29" s="79"/>
    </row>
    <row r="30" spans="1:18">
      <c r="A30" s="69" t="str">
        <f t="shared" si="0"/>
        <v/>
      </c>
      <c r="B30" s="70"/>
      <c r="C30" s="80"/>
      <c r="D30" s="80"/>
      <c r="E30" s="72"/>
      <c r="F30" s="73"/>
      <c r="G30" s="73"/>
      <c r="H30" s="74"/>
      <c r="I30" s="74"/>
      <c r="J30" s="201"/>
      <c r="K30" s="201"/>
      <c r="L30" s="75" t="str">
        <f>IFERROR(VLOOKUP(J30,'TABELA DE DEFEITOS'!$A$4:$B$1048576,2,0),"")</f>
        <v/>
      </c>
      <c r="M30" s="76" t="str">
        <f>IFERROR(VLOOKUP(J30,'TABELA DE DEFEITOS'!$A$4:$I$1048576,9,0),"")</f>
        <v/>
      </c>
      <c r="N30" s="73"/>
      <c r="O30" s="77"/>
      <c r="P30" s="77"/>
      <c r="Q30" s="78"/>
      <c r="R30" s="79"/>
    </row>
    <row r="31" spans="1:18">
      <c r="A31" s="69" t="str">
        <f t="shared" si="0"/>
        <v/>
      </c>
      <c r="B31" s="70"/>
      <c r="C31" s="80"/>
      <c r="D31" s="80"/>
      <c r="E31" s="72"/>
      <c r="F31" s="73"/>
      <c r="G31" s="73"/>
      <c r="H31" s="74"/>
      <c r="I31" s="74"/>
      <c r="J31" s="201"/>
      <c r="K31" s="201"/>
      <c r="L31" s="75" t="str">
        <f>IFERROR(VLOOKUP(J31,'TABELA DE DEFEITOS'!$A$4:$B$1048576,2,0),"")</f>
        <v/>
      </c>
      <c r="M31" s="76" t="str">
        <f>IFERROR(VLOOKUP(J31,'TABELA DE DEFEITOS'!$A$4:$I$1048576,9,0),"")</f>
        <v/>
      </c>
      <c r="N31" s="73"/>
      <c r="O31" s="77"/>
      <c r="P31" s="77"/>
      <c r="Q31" s="78"/>
      <c r="R31" s="79"/>
    </row>
    <row r="32" spans="1:18">
      <c r="A32" s="69" t="str">
        <f t="shared" si="0"/>
        <v/>
      </c>
      <c r="B32" s="70"/>
      <c r="C32" s="80"/>
      <c r="D32" s="80"/>
      <c r="E32" s="72"/>
      <c r="F32" s="73"/>
      <c r="G32" s="73"/>
      <c r="H32" s="74"/>
      <c r="I32" s="74"/>
      <c r="J32" s="201"/>
      <c r="K32" s="201"/>
      <c r="L32" s="75" t="str">
        <f>IFERROR(VLOOKUP(J32,'TABELA DE DEFEITOS'!$A$4:$B$1048576,2,0),"")</f>
        <v/>
      </c>
      <c r="M32" s="76" t="str">
        <f>IFERROR(VLOOKUP(J32,'TABELA DE DEFEITOS'!$A$4:$I$1048576,9,0),"")</f>
        <v/>
      </c>
      <c r="N32" s="73"/>
      <c r="O32" s="77"/>
      <c r="P32" s="77"/>
      <c r="Q32" s="78"/>
      <c r="R32" s="79"/>
    </row>
    <row r="33" spans="1:18">
      <c r="A33" s="69" t="str">
        <f t="shared" si="0"/>
        <v/>
      </c>
      <c r="B33" s="70"/>
      <c r="C33" s="80"/>
      <c r="D33" s="80"/>
      <c r="E33" s="72"/>
      <c r="F33" s="73"/>
      <c r="G33" s="73"/>
      <c r="H33" s="74"/>
      <c r="I33" s="74"/>
      <c r="J33" s="201"/>
      <c r="K33" s="201"/>
      <c r="L33" s="75" t="str">
        <f>IFERROR(VLOOKUP(J33,'TABELA DE DEFEITOS'!$A$4:$B$1048576,2,0),"")</f>
        <v/>
      </c>
      <c r="M33" s="76" t="str">
        <f>IFERROR(VLOOKUP(J33,'TABELA DE DEFEITOS'!$A$4:$I$1048576,9,0),"")</f>
        <v/>
      </c>
      <c r="N33" s="73"/>
      <c r="O33" s="77"/>
      <c r="P33" s="77"/>
      <c r="Q33" s="78"/>
      <c r="R33" s="79"/>
    </row>
    <row r="34" spans="1:18">
      <c r="A34" s="69" t="str">
        <f t="shared" si="0"/>
        <v/>
      </c>
      <c r="B34" s="70"/>
      <c r="C34" s="80"/>
      <c r="D34" s="80"/>
      <c r="E34" s="72"/>
      <c r="F34" s="73"/>
      <c r="G34" s="73"/>
      <c r="H34" s="74"/>
      <c r="I34" s="74"/>
      <c r="J34" s="201"/>
      <c r="K34" s="201"/>
      <c r="L34" s="75" t="str">
        <f>IFERROR(VLOOKUP(J34,'TABELA DE DEFEITOS'!$A$4:$B$1048576,2,0),"")</f>
        <v/>
      </c>
      <c r="M34" s="76" t="str">
        <f>IFERROR(VLOOKUP(J34,'TABELA DE DEFEITOS'!$A$4:$I$1048576,9,0),"")</f>
        <v/>
      </c>
      <c r="N34" s="73"/>
      <c r="O34" s="77"/>
      <c r="P34" s="77"/>
      <c r="Q34" s="78"/>
      <c r="R34" s="79"/>
    </row>
    <row r="35" spans="1:18">
      <c r="A35" s="69" t="str">
        <f t="shared" si="0"/>
        <v/>
      </c>
      <c r="B35" s="70"/>
      <c r="C35" s="80"/>
      <c r="D35" s="80"/>
      <c r="E35" s="72"/>
      <c r="F35" s="73"/>
      <c r="G35" s="73"/>
      <c r="H35" s="74"/>
      <c r="I35" s="74"/>
      <c r="J35" s="201"/>
      <c r="K35" s="201"/>
      <c r="L35" s="75" t="str">
        <f>IFERROR(VLOOKUP(J35,'TABELA DE DEFEITOS'!$A$4:$B$1048576,2,0),"")</f>
        <v/>
      </c>
      <c r="M35" s="76" t="str">
        <f>IFERROR(VLOOKUP(J35,'TABELA DE DEFEITOS'!$A$4:$I$1048576,9,0),"")</f>
        <v/>
      </c>
      <c r="N35" s="73"/>
      <c r="O35" s="77"/>
      <c r="P35" s="77"/>
      <c r="Q35" s="78"/>
      <c r="R35" s="79"/>
    </row>
    <row r="36" spans="1:18">
      <c r="A36" s="69" t="str">
        <f t="shared" si="0"/>
        <v/>
      </c>
      <c r="B36" s="70"/>
      <c r="C36" s="80"/>
      <c r="D36" s="80"/>
      <c r="E36" s="72"/>
      <c r="F36" s="73"/>
      <c r="G36" s="73"/>
      <c r="H36" s="74"/>
      <c r="I36" s="74"/>
      <c r="J36" s="201"/>
      <c r="K36" s="201"/>
      <c r="L36" s="75" t="str">
        <f>IFERROR(VLOOKUP(J36,'TABELA DE DEFEITOS'!$A$4:$B$1048576,2,0),"")</f>
        <v/>
      </c>
      <c r="M36" s="76" t="str">
        <f>IFERROR(VLOOKUP(J36,'TABELA DE DEFEITOS'!$A$4:$I$1048576,9,0),"")</f>
        <v/>
      </c>
      <c r="N36" s="73"/>
      <c r="O36" s="77"/>
      <c r="P36" s="77"/>
      <c r="Q36" s="78"/>
      <c r="R36" s="79"/>
    </row>
    <row r="37" spans="1:18">
      <c r="A37" s="69" t="str">
        <f t="shared" si="0"/>
        <v/>
      </c>
      <c r="B37" s="70"/>
      <c r="C37" s="80"/>
      <c r="D37" s="80"/>
      <c r="E37" s="72"/>
      <c r="F37" s="73"/>
      <c r="G37" s="73"/>
      <c r="H37" s="74"/>
      <c r="I37" s="74"/>
      <c r="J37" s="201"/>
      <c r="K37" s="201"/>
      <c r="L37" s="75" t="str">
        <f>IFERROR(VLOOKUP(J37,'TABELA DE DEFEITOS'!$A$4:$B$1048576,2,0),"")</f>
        <v/>
      </c>
      <c r="M37" s="76" t="str">
        <f>IFERROR(VLOOKUP(J37,'TABELA DE DEFEITOS'!$A$4:$I$1048576,9,0),"")</f>
        <v/>
      </c>
      <c r="N37" s="73"/>
      <c r="O37" s="77"/>
      <c r="P37" s="77"/>
      <c r="Q37" s="78"/>
      <c r="R37" s="79"/>
    </row>
    <row r="38" spans="1:18">
      <c r="A38" s="69" t="str">
        <f t="shared" si="0"/>
        <v/>
      </c>
      <c r="B38" s="70"/>
      <c r="C38" s="80"/>
      <c r="D38" s="80"/>
      <c r="E38" s="72"/>
      <c r="F38" s="73"/>
      <c r="G38" s="73"/>
      <c r="H38" s="74"/>
      <c r="I38" s="74"/>
      <c r="J38" s="201"/>
      <c r="K38" s="201"/>
      <c r="L38" s="75" t="str">
        <f>IFERROR(VLOOKUP(J38,'TABELA DE DEFEITOS'!$A$4:$B$1048576,2,0),"")</f>
        <v/>
      </c>
      <c r="M38" s="76" t="str">
        <f>IFERROR(VLOOKUP(J38,'TABELA DE DEFEITOS'!$A$4:$I$1048576,9,0),"")</f>
        <v/>
      </c>
      <c r="N38" s="73"/>
      <c r="O38" s="77"/>
      <c r="P38" s="77"/>
      <c r="Q38" s="78"/>
      <c r="R38" s="79"/>
    </row>
    <row r="39" spans="1:18">
      <c r="A39" s="69" t="str">
        <f t="shared" si="0"/>
        <v/>
      </c>
      <c r="B39" s="70"/>
      <c r="C39" s="80"/>
      <c r="D39" s="80"/>
      <c r="E39" s="72"/>
      <c r="F39" s="73"/>
      <c r="G39" s="73"/>
      <c r="H39" s="74"/>
      <c r="I39" s="74"/>
      <c r="J39" s="201"/>
      <c r="K39" s="201"/>
      <c r="L39" s="75" t="str">
        <f>IFERROR(VLOOKUP(J39,'TABELA DE DEFEITOS'!$A$4:$B$1048576,2,0),"")</f>
        <v/>
      </c>
      <c r="M39" s="76" t="str">
        <f>IFERROR(VLOOKUP(J39,'TABELA DE DEFEITOS'!$A$4:$I$1048576,9,0),"")</f>
        <v/>
      </c>
      <c r="N39" s="73"/>
      <c r="O39" s="77"/>
      <c r="P39" s="77"/>
      <c r="Q39" s="78"/>
      <c r="R39" s="79"/>
    </row>
    <row r="40" spans="1:18">
      <c r="A40" s="69" t="str">
        <f t="shared" si="0"/>
        <v/>
      </c>
      <c r="B40" s="70"/>
      <c r="C40" s="80"/>
      <c r="D40" s="80"/>
      <c r="E40" s="72"/>
      <c r="F40" s="73"/>
      <c r="G40" s="73"/>
      <c r="H40" s="74"/>
      <c r="I40" s="74"/>
      <c r="J40" s="201"/>
      <c r="K40" s="201"/>
      <c r="L40" s="75" t="str">
        <f>IFERROR(VLOOKUP(J40,'TABELA DE DEFEITOS'!$A$4:$B$1048576,2,0),"")</f>
        <v/>
      </c>
      <c r="M40" s="76" t="str">
        <f>IFERROR(VLOOKUP(J40,'TABELA DE DEFEITOS'!$A$4:$I$1048576,9,0),"")</f>
        <v/>
      </c>
      <c r="N40" s="73"/>
      <c r="O40" s="77"/>
      <c r="P40" s="77"/>
      <c r="Q40" s="78"/>
      <c r="R40" s="79"/>
    </row>
    <row r="41" spans="1:18">
      <c r="A41" s="69" t="str">
        <f t="shared" si="0"/>
        <v/>
      </c>
      <c r="B41" s="70"/>
      <c r="C41" s="80"/>
      <c r="D41" s="80"/>
      <c r="E41" s="72"/>
      <c r="F41" s="73"/>
      <c r="G41" s="73"/>
      <c r="H41" s="74"/>
      <c r="I41" s="74"/>
      <c r="J41" s="201"/>
      <c r="K41" s="201"/>
      <c r="L41" s="75" t="str">
        <f>IFERROR(VLOOKUP(J41,'TABELA DE DEFEITOS'!$A$4:$B$1048576,2,0),"")</f>
        <v/>
      </c>
      <c r="M41" s="76" t="str">
        <f>IFERROR(VLOOKUP(J41,'TABELA DE DEFEITOS'!$A$4:$I$1048576,9,0),"")</f>
        <v/>
      </c>
      <c r="N41" s="73"/>
      <c r="O41" s="77"/>
      <c r="P41" s="77"/>
      <c r="Q41" s="78"/>
      <c r="R41" s="79"/>
    </row>
    <row r="42" spans="1:18">
      <c r="A42" s="69" t="str">
        <f t="shared" si="0"/>
        <v/>
      </c>
      <c r="B42" s="70"/>
      <c r="C42" s="80"/>
      <c r="D42" s="80"/>
      <c r="E42" s="72"/>
      <c r="F42" s="73"/>
      <c r="G42" s="73"/>
      <c r="H42" s="74"/>
      <c r="I42" s="74"/>
      <c r="J42" s="201"/>
      <c r="K42" s="201"/>
      <c r="L42" s="75" t="str">
        <f>IFERROR(VLOOKUP(J42,'TABELA DE DEFEITOS'!$A$4:$B$1048576,2,0),"")</f>
        <v/>
      </c>
      <c r="M42" s="76" t="str">
        <f>IFERROR(VLOOKUP(J42,'TABELA DE DEFEITOS'!$A$4:$I$1048576,9,0),"")</f>
        <v/>
      </c>
      <c r="N42" s="73"/>
      <c r="O42" s="77"/>
      <c r="P42" s="77"/>
      <c r="Q42" s="78"/>
      <c r="R42" s="79"/>
    </row>
    <row r="43" spans="1:18">
      <c r="A43" s="69" t="str">
        <f t="shared" si="0"/>
        <v/>
      </c>
      <c r="B43" s="70"/>
      <c r="C43" s="80"/>
      <c r="D43" s="80"/>
      <c r="E43" s="72"/>
      <c r="F43" s="73"/>
      <c r="G43" s="73"/>
      <c r="H43" s="74"/>
      <c r="I43" s="74"/>
      <c r="J43" s="201"/>
      <c r="K43" s="201"/>
      <c r="L43" s="75" t="str">
        <f>IFERROR(VLOOKUP(J43,'TABELA DE DEFEITOS'!$A$4:$B$1048576,2,0),"")</f>
        <v/>
      </c>
      <c r="M43" s="76" t="str">
        <f>IFERROR(VLOOKUP(J43,'TABELA DE DEFEITOS'!$A$4:$I$1048576,9,0),"")</f>
        <v/>
      </c>
      <c r="N43" s="73"/>
      <c r="O43" s="77"/>
      <c r="P43" s="77"/>
      <c r="Q43" s="78"/>
      <c r="R43" s="79"/>
    </row>
    <row r="44" spans="1:18">
      <c r="A44" s="69" t="str">
        <f t="shared" si="0"/>
        <v/>
      </c>
      <c r="B44" s="70"/>
      <c r="C44" s="80"/>
      <c r="D44" s="80"/>
      <c r="E44" s="72"/>
      <c r="F44" s="73"/>
      <c r="G44" s="73"/>
      <c r="H44" s="74"/>
      <c r="I44" s="74"/>
      <c r="J44" s="201"/>
      <c r="K44" s="201"/>
      <c r="L44" s="75" t="str">
        <f>IFERROR(VLOOKUP(J44,'TABELA DE DEFEITOS'!$A$4:$B$1048576,2,0),"")</f>
        <v/>
      </c>
      <c r="M44" s="76" t="str">
        <f>IFERROR(VLOOKUP(J44,'TABELA DE DEFEITOS'!$A$4:$I$1048576,9,0),"")</f>
        <v/>
      </c>
      <c r="N44" s="73"/>
      <c r="O44" s="77"/>
      <c r="P44" s="77"/>
      <c r="Q44" s="78"/>
      <c r="R44" s="79"/>
    </row>
    <row r="45" spans="1:18">
      <c r="A45" s="69" t="str">
        <f t="shared" si="0"/>
        <v/>
      </c>
      <c r="B45" s="70"/>
      <c r="C45" s="80"/>
      <c r="D45" s="80"/>
      <c r="E45" s="72"/>
      <c r="F45" s="73"/>
      <c r="G45" s="73"/>
      <c r="H45" s="74"/>
      <c r="I45" s="74"/>
      <c r="J45" s="201"/>
      <c r="K45" s="201"/>
      <c r="L45" s="75" t="str">
        <f>IFERROR(VLOOKUP(J45,'TABELA DE DEFEITOS'!$A$4:$B$1048576,2,0),"")</f>
        <v/>
      </c>
      <c r="M45" s="76" t="str">
        <f>IFERROR(VLOOKUP(J45,'TABELA DE DEFEITOS'!$A$4:$I$1048576,9,0),"")</f>
        <v/>
      </c>
      <c r="N45" s="73"/>
      <c r="O45" s="77"/>
      <c r="P45" s="77"/>
      <c r="Q45" s="78"/>
      <c r="R45" s="79"/>
    </row>
    <row r="46" spans="1:18">
      <c r="A46" s="69" t="str">
        <f t="shared" si="0"/>
        <v/>
      </c>
      <c r="B46" s="70"/>
      <c r="C46" s="80"/>
      <c r="D46" s="80"/>
      <c r="E46" s="72"/>
      <c r="F46" s="73"/>
      <c r="G46" s="73"/>
      <c r="H46" s="74"/>
      <c r="I46" s="74"/>
      <c r="J46" s="201"/>
      <c r="K46" s="201"/>
      <c r="L46" s="75" t="str">
        <f>IFERROR(VLOOKUP(J46,'TABELA DE DEFEITOS'!$A$4:$B$1048576,2,0),"")</f>
        <v/>
      </c>
      <c r="M46" s="76" t="str">
        <f>IFERROR(VLOOKUP(J46,'TABELA DE DEFEITOS'!$A$4:$I$1048576,9,0),"")</f>
        <v/>
      </c>
      <c r="N46" s="73"/>
      <c r="O46" s="77"/>
      <c r="P46" s="77"/>
      <c r="Q46" s="78"/>
      <c r="R46" s="79"/>
    </row>
    <row r="47" spans="1:18">
      <c r="A47" s="69" t="str">
        <f t="shared" si="0"/>
        <v/>
      </c>
      <c r="B47" s="70"/>
      <c r="C47" s="80"/>
      <c r="D47" s="80"/>
      <c r="E47" s="72"/>
      <c r="F47" s="73"/>
      <c r="G47" s="73"/>
      <c r="H47" s="74"/>
      <c r="I47" s="74"/>
      <c r="J47" s="201"/>
      <c r="K47" s="201"/>
      <c r="L47" s="75" t="str">
        <f>IFERROR(VLOOKUP(J47,'TABELA DE DEFEITOS'!$A$4:$B$1048576,2,0),"")</f>
        <v/>
      </c>
      <c r="M47" s="76" t="str">
        <f>IFERROR(VLOOKUP(J47,'TABELA DE DEFEITOS'!$A$4:$I$1048576,9,0),"")</f>
        <v/>
      </c>
      <c r="N47" s="73"/>
      <c r="O47" s="77"/>
      <c r="P47" s="77"/>
      <c r="Q47" s="78"/>
      <c r="R47" s="79"/>
    </row>
    <row r="48" spans="1:18">
      <c r="A48" s="69" t="str">
        <f t="shared" si="0"/>
        <v/>
      </c>
      <c r="B48" s="70"/>
      <c r="C48" s="80"/>
      <c r="D48" s="80"/>
      <c r="E48" s="72"/>
      <c r="F48" s="73"/>
      <c r="G48" s="73"/>
      <c r="H48" s="74"/>
      <c r="I48" s="74"/>
      <c r="J48" s="201"/>
      <c r="K48" s="201"/>
      <c r="L48" s="75" t="str">
        <f>IFERROR(VLOOKUP(J48,'TABELA DE DEFEITOS'!$A$4:$B$1048576,2,0),"")</f>
        <v/>
      </c>
      <c r="M48" s="76" t="str">
        <f>IFERROR(VLOOKUP(J48,'TABELA DE DEFEITOS'!$A$4:$I$1048576,9,0),"")</f>
        <v/>
      </c>
      <c r="N48" s="73"/>
      <c r="O48" s="77"/>
      <c r="P48" s="77"/>
      <c r="Q48" s="78"/>
      <c r="R48" s="79"/>
    </row>
    <row r="49" spans="1:18">
      <c r="A49" s="69" t="str">
        <f t="shared" si="0"/>
        <v/>
      </c>
      <c r="B49" s="70"/>
      <c r="C49" s="80"/>
      <c r="D49" s="80"/>
      <c r="E49" s="72"/>
      <c r="F49" s="73"/>
      <c r="G49" s="73"/>
      <c r="H49" s="74"/>
      <c r="I49" s="74"/>
      <c r="J49" s="201"/>
      <c r="K49" s="201"/>
      <c r="L49" s="75" t="str">
        <f>IFERROR(VLOOKUP(J49,'TABELA DE DEFEITOS'!$A$4:$B$1048576,2,0),"")</f>
        <v/>
      </c>
      <c r="M49" s="76" t="str">
        <f>IFERROR(VLOOKUP(J49,'TABELA DE DEFEITOS'!$A$4:$I$1048576,9,0),"")</f>
        <v/>
      </c>
      <c r="N49" s="73"/>
      <c r="O49" s="77"/>
      <c r="P49" s="77"/>
      <c r="Q49" s="78"/>
      <c r="R49" s="79"/>
    </row>
    <row r="50" spans="1:18">
      <c r="A50" s="69" t="str">
        <f t="shared" si="0"/>
        <v/>
      </c>
      <c r="B50" s="70"/>
      <c r="C50" s="80"/>
      <c r="D50" s="80"/>
      <c r="E50" s="72"/>
      <c r="F50" s="73"/>
      <c r="G50" s="73"/>
      <c r="H50" s="74"/>
      <c r="I50" s="74"/>
      <c r="J50" s="201"/>
      <c r="K50" s="201"/>
      <c r="L50" s="75" t="str">
        <f>IFERROR(VLOOKUP(J50,'TABELA DE DEFEITOS'!$A$4:$B$1048576,2,0),"")</f>
        <v/>
      </c>
      <c r="M50" s="76" t="str">
        <f>IFERROR(VLOOKUP(J50,'TABELA DE DEFEITOS'!$A$4:$I$1048576,9,0),"")</f>
        <v/>
      </c>
      <c r="N50" s="73"/>
      <c r="O50" s="77"/>
      <c r="P50" s="77"/>
      <c r="Q50" s="78"/>
      <c r="R50" s="79"/>
    </row>
    <row r="51" spans="1:18">
      <c r="A51" s="69" t="str">
        <f t="shared" si="0"/>
        <v/>
      </c>
      <c r="B51" s="70"/>
      <c r="C51" s="80"/>
      <c r="D51" s="80"/>
      <c r="E51" s="72"/>
      <c r="F51" s="73"/>
      <c r="G51" s="73"/>
      <c r="H51" s="74"/>
      <c r="I51" s="74"/>
      <c r="J51" s="201"/>
      <c r="K51" s="201"/>
      <c r="L51" s="75" t="str">
        <f>IFERROR(VLOOKUP(J51,'TABELA DE DEFEITOS'!$A$4:$B$1048576,2,0),"")</f>
        <v/>
      </c>
      <c r="M51" s="76" t="str">
        <f>IFERROR(VLOOKUP(J51,'TABELA DE DEFEITOS'!$A$4:$I$1048576,9,0),"")</f>
        <v/>
      </c>
      <c r="N51" s="73"/>
      <c r="O51" s="77"/>
      <c r="P51" s="77"/>
      <c r="Q51" s="78"/>
      <c r="R51" s="79"/>
    </row>
    <row r="52" spans="1:18">
      <c r="A52" s="69" t="str">
        <f t="shared" si="0"/>
        <v/>
      </c>
      <c r="B52" s="70"/>
      <c r="C52" s="80"/>
      <c r="D52" s="80"/>
      <c r="E52" s="72"/>
      <c r="F52" s="73"/>
      <c r="G52" s="73"/>
      <c r="H52" s="74"/>
      <c r="I52" s="74"/>
      <c r="J52" s="201"/>
      <c r="K52" s="201"/>
      <c r="L52" s="75" t="str">
        <f>IFERROR(VLOOKUP(J52,'TABELA DE DEFEITOS'!$A$4:$B$1048576,2,0),"")</f>
        <v/>
      </c>
      <c r="M52" s="76" t="str">
        <f>IFERROR(VLOOKUP(J52,'TABELA DE DEFEITOS'!$A$4:$I$1048576,9,0),"")</f>
        <v/>
      </c>
      <c r="N52" s="73"/>
      <c r="O52" s="77"/>
      <c r="P52" s="77"/>
      <c r="Q52" s="78"/>
      <c r="R52" s="79"/>
    </row>
    <row r="53" spans="1:18">
      <c r="A53" s="69" t="str">
        <f t="shared" si="0"/>
        <v/>
      </c>
      <c r="B53" s="70"/>
      <c r="C53" s="80"/>
      <c r="D53" s="80"/>
      <c r="E53" s="72"/>
      <c r="F53" s="73"/>
      <c r="G53" s="73"/>
      <c r="H53" s="74"/>
      <c r="I53" s="74"/>
      <c r="J53" s="201"/>
      <c r="K53" s="201"/>
      <c r="L53" s="75" t="str">
        <f>IFERROR(VLOOKUP(J53,'TABELA DE DEFEITOS'!$A$4:$B$1048576,2,0),"")</f>
        <v/>
      </c>
      <c r="M53" s="76" t="str">
        <f>IFERROR(VLOOKUP(J53,'TABELA DE DEFEITOS'!$A$4:$I$1048576,9,0),"")</f>
        <v/>
      </c>
      <c r="N53" s="73"/>
      <c r="O53" s="77"/>
      <c r="P53" s="77"/>
      <c r="Q53" s="78"/>
      <c r="R53" s="79"/>
    </row>
    <row r="54" spans="1:18">
      <c r="A54" s="69" t="str">
        <f t="shared" si="0"/>
        <v/>
      </c>
      <c r="B54" s="70"/>
      <c r="C54" s="80"/>
      <c r="D54" s="80"/>
      <c r="E54" s="72"/>
      <c r="F54" s="73"/>
      <c r="G54" s="73"/>
      <c r="H54" s="74"/>
      <c r="I54" s="74"/>
      <c r="J54" s="201"/>
      <c r="K54" s="201"/>
      <c r="L54" s="75" t="str">
        <f>IFERROR(VLOOKUP(J54,'TABELA DE DEFEITOS'!$A$4:$B$1048576,2,0),"")</f>
        <v/>
      </c>
      <c r="M54" s="76" t="str">
        <f>IFERROR(VLOOKUP(J54,'TABELA DE DEFEITOS'!$A$4:$I$1048576,9,0),"")</f>
        <v/>
      </c>
      <c r="N54" s="73"/>
      <c r="O54" s="77"/>
      <c r="P54" s="77"/>
      <c r="Q54" s="78"/>
      <c r="R54" s="79"/>
    </row>
    <row r="55" spans="1:18">
      <c r="A55" s="69" t="str">
        <f t="shared" si="0"/>
        <v/>
      </c>
      <c r="B55" s="70"/>
      <c r="C55" s="80"/>
      <c r="D55" s="80"/>
      <c r="E55" s="72"/>
      <c r="F55" s="73"/>
      <c r="G55" s="73"/>
      <c r="H55" s="74"/>
      <c r="I55" s="74"/>
      <c r="J55" s="201"/>
      <c r="K55" s="201"/>
      <c r="L55" s="75" t="str">
        <f>IFERROR(VLOOKUP(J55,'TABELA DE DEFEITOS'!$A$4:$B$1048576,2,0),"")</f>
        <v/>
      </c>
      <c r="M55" s="76" t="str">
        <f>IFERROR(VLOOKUP(J55,'TABELA DE DEFEITOS'!$A$4:$I$1048576,9,0),"")</f>
        <v/>
      </c>
      <c r="N55" s="73"/>
      <c r="O55" s="77"/>
      <c r="P55" s="77"/>
      <c r="Q55" s="78"/>
      <c r="R55" s="79"/>
    </row>
    <row r="56" spans="1:18">
      <c r="A56" s="69" t="str">
        <f t="shared" si="0"/>
        <v/>
      </c>
      <c r="B56" s="70"/>
      <c r="C56" s="80"/>
      <c r="D56" s="80"/>
      <c r="E56" s="72"/>
      <c r="F56" s="73"/>
      <c r="G56" s="73"/>
      <c r="H56" s="74"/>
      <c r="I56" s="74"/>
      <c r="J56" s="201"/>
      <c r="K56" s="201"/>
      <c r="L56" s="75" t="str">
        <f>IFERROR(VLOOKUP(J56,'TABELA DE DEFEITOS'!$A$4:$B$1048576,2,0),"")</f>
        <v/>
      </c>
      <c r="M56" s="76" t="str">
        <f>IFERROR(VLOOKUP(J56,'TABELA DE DEFEITOS'!$A$4:$I$1048576,9,0),"")</f>
        <v/>
      </c>
      <c r="N56" s="73"/>
      <c r="O56" s="77"/>
      <c r="P56" s="77"/>
      <c r="Q56" s="78"/>
      <c r="R56" s="79"/>
    </row>
    <row r="57" spans="1:18">
      <c r="A57" s="69" t="str">
        <f t="shared" si="0"/>
        <v/>
      </c>
      <c r="B57" s="70"/>
      <c r="C57" s="80"/>
      <c r="D57" s="80"/>
      <c r="E57" s="72"/>
      <c r="F57" s="73"/>
      <c r="G57" s="73"/>
      <c r="H57" s="74"/>
      <c r="I57" s="74"/>
      <c r="J57" s="201"/>
      <c r="K57" s="201"/>
      <c r="L57" s="75" t="str">
        <f>IFERROR(VLOOKUP(J57,'TABELA DE DEFEITOS'!$A$4:$B$1048576,2,0),"")</f>
        <v/>
      </c>
      <c r="M57" s="76" t="str">
        <f>IFERROR(VLOOKUP(J57,'TABELA DE DEFEITOS'!$A$4:$I$1048576,9,0),"")</f>
        <v/>
      </c>
      <c r="N57" s="73"/>
      <c r="O57" s="77"/>
      <c r="P57" s="77"/>
      <c r="Q57" s="78"/>
      <c r="R57" s="79"/>
    </row>
    <row r="58" spans="1:18">
      <c r="A58" s="69" t="str">
        <f t="shared" si="0"/>
        <v/>
      </c>
      <c r="B58" s="70"/>
      <c r="C58" s="80"/>
      <c r="D58" s="80"/>
      <c r="E58" s="72"/>
      <c r="F58" s="73"/>
      <c r="G58" s="73"/>
      <c r="H58" s="74"/>
      <c r="I58" s="74"/>
      <c r="J58" s="201"/>
      <c r="K58" s="201"/>
      <c r="L58" s="75" t="str">
        <f>IFERROR(VLOOKUP(J58,'TABELA DE DEFEITOS'!$A$4:$B$1048576,2,0),"")</f>
        <v/>
      </c>
      <c r="M58" s="76" t="str">
        <f>IFERROR(VLOOKUP(J58,'TABELA DE DEFEITOS'!$A$4:$I$1048576,9,0),"")</f>
        <v/>
      </c>
      <c r="N58" s="73"/>
      <c r="O58" s="77"/>
      <c r="P58" s="77"/>
      <c r="Q58" s="78"/>
      <c r="R58" s="79"/>
    </row>
    <row r="59" spans="1:18">
      <c r="A59" s="69" t="str">
        <f t="shared" si="0"/>
        <v/>
      </c>
      <c r="B59" s="70"/>
      <c r="C59" s="80"/>
      <c r="D59" s="80"/>
      <c r="E59" s="72"/>
      <c r="F59" s="73"/>
      <c r="G59" s="73"/>
      <c r="H59" s="74"/>
      <c r="I59" s="74"/>
      <c r="J59" s="201"/>
      <c r="K59" s="201"/>
      <c r="L59" s="75" t="str">
        <f>IFERROR(VLOOKUP(J59,'TABELA DE DEFEITOS'!$A$4:$B$1048576,2,0),"")</f>
        <v/>
      </c>
      <c r="M59" s="76" t="str">
        <f>IFERROR(VLOOKUP(J59,'TABELA DE DEFEITOS'!$A$4:$I$1048576,9,0),"")</f>
        <v/>
      </c>
      <c r="N59" s="73"/>
      <c r="O59" s="77"/>
      <c r="P59" s="77"/>
      <c r="Q59" s="78"/>
      <c r="R59" s="79"/>
    </row>
    <row r="60" spans="1:18">
      <c r="A60" s="69" t="str">
        <f t="shared" si="0"/>
        <v/>
      </c>
      <c r="B60" s="70"/>
      <c r="C60" s="80"/>
      <c r="D60" s="80"/>
      <c r="E60" s="72"/>
      <c r="F60" s="73"/>
      <c r="G60" s="73"/>
      <c r="H60" s="74"/>
      <c r="I60" s="74"/>
      <c r="J60" s="201"/>
      <c r="K60" s="201"/>
      <c r="L60" s="75" t="str">
        <f>IFERROR(VLOOKUP(J60,'TABELA DE DEFEITOS'!$A$4:$B$1048576,2,0),"")</f>
        <v/>
      </c>
      <c r="M60" s="76" t="str">
        <f>IFERROR(VLOOKUP(J60,'TABELA DE DEFEITOS'!$A$4:$I$1048576,9,0),"")</f>
        <v/>
      </c>
      <c r="N60" s="73"/>
      <c r="O60" s="77"/>
      <c r="P60" s="77"/>
      <c r="Q60" s="78"/>
      <c r="R60" s="79"/>
    </row>
    <row r="61" spans="1:18">
      <c r="A61" s="69" t="str">
        <f t="shared" si="0"/>
        <v/>
      </c>
      <c r="B61" s="70"/>
      <c r="C61" s="80"/>
      <c r="D61" s="80"/>
      <c r="E61" s="72"/>
      <c r="F61" s="73"/>
      <c r="G61" s="73"/>
      <c r="H61" s="74"/>
      <c r="I61" s="74"/>
      <c r="J61" s="201"/>
      <c r="K61" s="201"/>
      <c r="L61" s="75" t="str">
        <f>IFERROR(VLOOKUP(J61,'TABELA DE DEFEITOS'!$A$4:$B$1048576,2,0),"")</f>
        <v/>
      </c>
      <c r="M61" s="76" t="str">
        <f>IFERROR(VLOOKUP(J61,'TABELA DE DEFEITOS'!$A$4:$I$1048576,9,0),"")</f>
        <v/>
      </c>
      <c r="N61" s="73"/>
      <c r="O61" s="77"/>
      <c r="P61" s="77"/>
      <c r="Q61" s="78"/>
      <c r="R61" s="79"/>
    </row>
    <row r="62" spans="1:18">
      <c r="A62" s="69" t="str">
        <f t="shared" si="0"/>
        <v/>
      </c>
      <c r="B62" s="70"/>
      <c r="C62" s="80"/>
      <c r="D62" s="80"/>
      <c r="E62" s="72"/>
      <c r="F62" s="73"/>
      <c r="G62" s="73"/>
      <c r="H62" s="74"/>
      <c r="I62" s="74"/>
      <c r="J62" s="201"/>
      <c r="K62" s="201"/>
      <c r="L62" s="75" t="str">
        <f>IFERROR(VLOOKUP(J62,'TABELA DE DEFEITOS'!$A$4:$B$1048576,2,0),"")</f>
        <v/>
      </c>
      <c r="M62" s="76" t="str">
        <f>IFERROR(VLOOKUP(J62,'TABELA DE DEFEITOS'!$A$4:$I$1048576,9,0),"")</f>
        <v/>
      </c>
      <c r="N62" s="73"/>
      <c r="O62" s="77"/>
      <c r="P62" s="77"/>
      <c r="Q62" s="78"/>
      <c r="R62" s="79"/>
    </row>
    <row r="63" spans="1:18">
      <c r="A63" s="69" t="str">
        <f t="shared" si="0"/>
        <v/>
      </c>
      <c r="B63" s="70"/>
      <c r="C63" s="80"/>
      <c r="D63" s="80"/>
      <c r="E63" s="72"/>
      <c r="F63" s="73"/>
      <c r="G63" s="73"/>
      <c r="H63" s="74"/>
      <c r="I63" s="74"/>
      <c r="J63" s="201"/>
      <c r="K63" s="201"/>
      <c r="L63" s="75" t="str">
        <f>IFERROR(VLOOKUP(J63,'TABELA DE DEFEITOS'!$A$4:$B$1048576,2,0),"")</f>
        <v/>
      </c>
      <c r="M63" s="76" t="str">
        <f>IFERROR(VLOOKUP(J63,'TABELA DE DEFEITOS'!$A$4:$I$1048576,9,0),"")</f>
        <v/>
      </c>
      <c r="N63" s="73"/>
      <c r="O63" s="77"/>
      <c r="P63" s="77"/>
      <c r="Q63" s="78"/>
      <c r="R63" s="79"/>
    </row>
    <row r="64" spans="1:18">
      <c r="A64" s="69" t="str">
        <f t="shared" si="0"/>
        <v/>
      </c>
      <c r="B64" s="70"/>
      <c r="C64" s="80"/>
      <c r="D64" s="80"/>
      <c r="E64" s="72"/>
      <c r="F64" s="73"/>
      <c r="G64" s="73"/>
      <c r="H64" s="74"/>
      <c r="I64" s="74"/>
      <c r="J64" s="201"/>
      <c r="K64" s="201"/>
      <c r="L64" s="75" t="str">
        <f>IFERROR(VLOOKUP(J64,'TABELA DE DEFEITOS'!$A$4:$B$1048576,2,0),"")</f>
        <v/>
      </c>
      <c r="M64" s="76" t="str">
        <f>IFERROR(VLOOKUP(J64,'TABELA DE DEFEITOS'!$A$4:$I$1048576,9,0),"")</f>
        <v/>
      </c>
      <c r="N64" s="73"/>
      <c r="O64" s="77"/>
      <c r="P64" s="77"/>
      <c r="Q64" s="78"/>
      <c r="R64" s="79"/>
    </row>
    <row r="65" spans="1:18">
      <c r="A65" s="69" t="str">
        <f t="shared" si="0"/>
        <v/>
      </c>
      <c r="B65" s="70"/>
      <c r="C65" s="80"/>
      <c r="D65" s="80"/>
      <c r="E65" s="72"/>
      <c r="F65" s="73"/>
      <c r="G65" s="73"/>
      <c r="H65" s="74"/>
      <c r="I65" s="74"/>
      <c r="J65" s="201"/>
      <c r="K65" s="201"/>
      <c r="L65" s="75" t="str">
        <f>IFERROR(VLOOKUP(J65,'TABELA DE DEFEITOS'!$A$4:$B$1048576,2,0),"")</f>
        <v/>
      </c>
      <c r="M65" s="76" t="str">
        <f>IFERROR(VLOOKUP(J65,'TABELA DE DEFEITOS'!$A$4:$I$1048576,9,0),"")</f>
        <v/>
      </c>
      <c r="N65" s="73"/>
      <c r="O65" s="77"/>
      <c r="P65" s="77"/>
      <c r="Q65" s="78"/>
      <c r="R65" s="79"/>
    </row>
    <row r="66" spans="1:18">
      <c r="A66" s="69" t="str">
        <f t="shared" si="0"/>
        <v/>
      </c>
      <c r="B66" s="70"/>
      <c r="C66" s="80"/>
      <c r="D66" s="80"/>
      <c r="E66" s="72"/>
      <c r="F66" s="73"/>
      <c r="G66" s="73"/>
      <c r="H66" s="74"/>
      <c r="I66" s="74"/>
      <c r="J66" s="201"/>
      <c r="K66" s="201"/>
      <c r="L66" s="75" t="str">
        <f>IFERROR(VLOOKUP(J66,'TABELA DE DEFEITOS'!$A$4:$B$1048576,2,0),"")</f>
        <v/>
      </c>
      <c r="M66" s="76" t="str">
        <f>IFERROR(VLOOKUP(J66,'TABELA DE DEFEITOS'!$A$4:$I$1048576,9,0),"")</f>
        <v/>
      </c>
      <c r="N66" s="73"/>
      <c r="O66" s="77"/>
      <c r="P66" s="77"/>
      <c r="Q66" s="78"/>
      <c r="R66" s="79"/>
    </row>
    <row r="67" spans="1:18">
      <c r="A67" s="69" t="str">
        <f t="shared" si="0"/>
        <v/>
      </c>
      <c r="B67" s="70"/>
      <c r="C67" s="80"/>
      <c r="D67" s="80"/>
      <c r="E67" s="72"/>
      <c r="F67" s="73"/>
      <c r="G67" s="73"/>
      <c r="H67" s="74"/>
      <c r="I67" s="74"/>
      <c r="J67" s="201"/>
      <c r="K67" s="201"/>
      <c r="L67" s="75" t="str">
        <f>IFERROR(VLOOKUP(J67,'TABELA DE DEFEITOS'!$A$4:$B$1048576,2,0),"")</f>
        <v/>
      </c>
      <c r="M67" s="76" t="str">
        <f>IFERROR(VLOOKUP(J67,'TABELA DE DEFEITOS'!$A$4:$I$1048576,9,0),"")</f>
        <v/>
      </c>
      <c r="N67" s="73"/>
      <c r="O67" s="77"/>
      <c r="P67" s="77"/>
      <c r="Q67" s="78"/>
      <c r="R67" s="79"/>
    </row>
    <row r="68" spans="1:18">
      <c r="A68" s="69" t="str">
        <f t="shared" si="0"/>
        <v/>
      </c>
      <c r="B68" s="70"/>
      <c r="C68" s="80"/>
      <c r="D68" s="80"/>
      <c r="E68" s="72"/>
      <c r="F68" s="73"/>
      <c r="G68" s="73"/>
      <c r="H68" s="74"/>
      <c r="I68" s="74"/>
      <c r="J68" s="201"/>
      <c r="K68" s="201"/>
      <c r="L68" s="75" t="str">
        <f>IFERROR(VLOOKUP(J68,'TABELA DE DEFEITOS'!$A$4:$B$1048576,2,0),"")</f>
        <v/>
      </c>
      <c r="M68" s="76" t="str">
        <f>IFERROR(VLOOKUP(J68,'TABELA DE DEFEITOS'!$A$4:$I$1048576,9,0),"")</f>
        <v/>
      </c>
      <c r="N68" s="73"/>
      <c r="O68" s="77"/>
      <c r="P68" s="77"/>
      <c r="Q68" s="78"/>
      <c r="R68" s="79"/>
    </row>
    <row r="69" spans="1:18">
      <c r="A69" s="69" t="str">
        <f t="shared" si="0"/>
        <v/>
      </c>
      <c r="B69" s="70"/>
      <c r="C69" s="80"/>
      <c r="D69" s="80"/>
      <c r="E69" s="72"/>
      <c r="F69" s="73"/>
      <c r="G69" s="73"/>
      <c r="H69" s="74"/>
      <c r="I69" s="74"/>
      <c r="J69" s="201"/>
      <c r="K69" s="201"/>
      <c r="L69" s="75" t="str">
        <f>IFERROR(VLOOKUP(J69,'TABELA DE DEFEITOS'!$A$4:$B$1048576,2,0),"")</f>
        <v/>
      </c>
      <c r="M69" s="76" t="str">
        <f>IFERROR(VLOOKUP(J69,'TABELA DE DEFEITOS'!$A$4:$I$1048576,9,0),"")</f>
        <v/>
      </c>
      <c r="N69" s="73"/>
      <c r="O69" s="77"/>
      <c r="P69" s="77"/>
      <c r="Q69" s="78"/>
      <c r="R69" s="79"/>
    </row>
    <row r="70" spans="1:18">
      <c r="A70" s="69" t="str">
        <f t="shared" si="0"/>
        <v/>
      </c>
      <c r="B70" s="70"/>
      <c r="C70" s="80"/>
      <c r="D70" s="80"/>
      <c r="E70" s="72"/>
      <c r="F70" s="73"/>
      <c r="G70" s="73"/>
      <c r="H70" s="74"/>
      <c r="I70" s="74"/>
      <c r="J70" s="201"/>
      <c r="K70" s="201"/>
      <c r="L70" s="75" t="str">
        <f>IFERROR(VLOOKUP(J70,'TABELA DE DEFEITOS'!$A$4:$B$1048576,2,0),"")</f>
        <v/>
      </c>
      <c r="M70" s="76" t="str">
        <f>IFERROR(VLOOKUP(J70,'TABELA DE DEFEITOS'!$A$4:$I$1048576,9,0),"")</f>
        <v/>
      </c>
      <c r="N70" s="73"/>
      <c r="O70" s="77"/>
      <c r="P70" s="77"/>
      <c r="Q70" s="78"/>
      <c r="R70" s="79"/>
    </row>
    <row r="71" spans="1:18">
      <c r="A71" s="69" t="str">
        <f t="shared" si="0"/>
        <v/>
      </c>
      <c r="B71" s="70"/>
      <c r="C71" s="80"/>
      <c r="D71" s="80"/>
      <c r="E71" s="72"/>
      <c r="F71" s="73"/>
      <c r="G71" s="73"/>
      <c r="H71" s="74"/>
      <c r="I71" s="74"/>
      <c r="J71" s="201"/>
      <c r="K71" s="201"/>
      <c r="L71" s="75" t="str">
        <f>IFERROR(VLOOKUP(J71,'TABELA DE DEFEITOS'!$A$4:$B$1048576,2,0),"")</f>
        <v/>
      </c>
      <c r="M71" s="76" t="str">
        <f>IFERROR(VLOOKUP(J71,'TABELA DE DEFEITOS'!$A$4:$I$1048576,9,0),"")</f>
        <v/>
      </c>
      <c r="N71" s="73"/>
      <c r="O71" s="77"/>
      <c r="P71" s="77"/>
      <c r="Q71" s="78"/>
      <c r="R71" s="79"/>
    </row>
    <row r="72" spans="1:18">
      <c r="A72" s="69" t="str">
        <f t="shared" si="0"/>
        <v/>
      </c>
      <c r="B72" s="70"/>
      <c r="C72" s="80"/>
      <c r="D72" s="80"/>
      <c r="E72" s="72"/>
      <c r="F72" s="73"/>
      <c r="G72" s="73"/>
      <c r="H72" s="74"/>
      <c r="I72" s="74"/>
      <c r="J72" s="201"/>
      <c r="K72" s="201"/>
      <c r="L72" s="75" t="str">
        <f>IFERROR(VLOOKUP(J72,'TABELA DE DEFEITOS'!$A$4:$B$1048576,2,0),"")</f>
        <v/>
      </c>
      <c r="M72" s="76" t="str">
        <f>IFERROR(VLOOKUP(J72,'TABELA DE DEFEITOS'!$A$4:$I$1048576,9,0),"")</f>
        <v/>
      </c>
      <c r="N72" s="73"/>
      <c r="O72" s="77"/>
      <c r="P72" s="77"/>
      <c r="Q72" s="78"/>
      <c r="R72" s="79"/>
    </row>
    <row r="73" spans="1:18">
      <c r="A73" s="69" t="str">
        <f t="shared" si="0"/>
        <v/>
      </c>
      <c r="B73" s="70"/>
      <c r="C73" s="80"/>
      <c r="D73" s="80"/>
      <c r="E73" s="72"/>
      <c r="F73" s="73"/>
      <c r="G73" s="73"/>
      <c r="H73" s="74"/>
      <c r="I73" s="74"/>
      <c r="J73" s="201"/>
      <c r="K73" s="201"/>
      <c r="L73" s="75" t="str">
        <f>IFERROR(VLOOKUP(J73,'TABELA DE DEFEITOS'!$A$4:$B$1048576,2,0),"")</f>
        <v/>
      </c>
      <c r="M73" s="76" t="str">
        <f>IFERROR(VLOOKUP(J73,'TABELA DE DEFEITOS'!$A$4:$I$1048576,9,0),"")</f>
        <v/>
      </c>
      <c r="N73" s="73"/>
      <c r="O73" s="77"/>
      <c r="P73" s="77"/>
      <c r="Q73" s="78"/>
      <c r="R73" s="79"/>
    </row>
    <row r="74" spans="1:18">
      <c r="A74" s="69" t="str">
        <f t="shared" si="0"/>
        <v/>
      </c>
      <c r="B74" s="70"/>
      <c r="C74" s="80"/>
      <c r="D74" s="80"/>
      <c r="E74" s="72"/>
      <c r="F74" s="73"/>
      <c r="G74" s="73"/>
      <c r="H74" s="74"/>
      <c r="I74" s="74"/>
      <c r="J74" s="201"/>
      <c r="K74" s="201"/>
      <c r="L74" s="75" t="str">
        <f>IFERROR(VLOOKUP(J74,'TABELA DE DEFEITOS'!$A$4:$B$1048576,2,0),"")</f>
        <v/>
      </c>
      <c r="M74" s="76" t="str">
        <f>IFERROR(VLOOKUP(J74,'TABELA DE DEFEITOS'!$A$4:$I$1048576,9,0),"")</f>
        <v/>
      </c>
      <c r="N74" s="73"/>
      <c r="O74" s="77"/>
      <c r="P74" s="77"/>
      <c r="Q74" s="78"/>
      <c r="R74" s="79"/>
    </row>
    <row r="75" spans="1:18">
      <c r="A75" s="69" t="str">
        <f t="shared" ref="A75:A138" si="1">IF(H75="","",A74+1)</f>
        <v/>
      </c>
      <c r="B75" s="70"/>
      <c r="C75" s="80"/>
      <c r="D75" s="80"/>
      <c r="E75" s="72"/>
      <c r="F75" s="73"/>
      <c r="G75" s="73"/>
      <c r="H75" s="74"/>
      <c r="I75" s="74"/>
      <c r="J75" s="201"/>
      <c r="K75" s="201"/>
      <c r="L75" s="75" t="str">
        <f>IFERROR(VLOOKUP(J75,'TABELA DE DEFEITOS'!$A$4:$B$1048576,2,0),"")</f>
        <v/>
      </c>
      <c r="M75" s="76" t="str">
        <f>IFERROR(VLOOKUP(J75,'TABELA DE DEFEITOS'!$A$4:$I$1048576,9,0),"")</f>
        <v/>
      </c>
      <c r="N75" s="73"/>
      <c r="O75" s="77"/>
      <c r="P75" s="77"/>
      <c r="Q75" s="78"/>
      <c r="R75" s="79"/>
    </row>
    <row r="76" spans="1:18">
      <c r="A76" s="69" t="str">
        <f t="shared" si="1"/>
        <v/>
      </c>
      <c r="B76" s="70"/>
      <c r="C76" s="80"/>
      <c r="D76" s="80"/>
      <c r="E76" s="72"/>
      <c r="F76" s="73"/>
      <c r="G76" s="73"/>
      <c r="H76" s="74"/>
      <c r="I76" s="74"/>
      <c r="J76" s="201"/>
      <c r="K76" s="201"/>
      <c r="L76" s="75" t="str">
        <f>IFERROR(VLOOKUP(J76,'TABELA DE DEFEITOS'!$A$4:$B$1048576,2,0),"")</f>
        <v/>
      </c>
      <c r="M76" s="76" t="str">
        <f>IFERROR(VLOOKUP(J76,'TABELA DE DEFEITOS'!$A$4:$I$1048576,9,0),"")</f>
        <v/>
      </c>
      <c r="N76" s="73"/>
      <c r="O76" s="77"/>
      <c r="P76" s="77"/>
      <c r="Q76" s="78"/>
      <c r="R76" s="79"/>
    </row>
    <row r="77" spans="1:18">
      <c r="A77" s="69" t="str">
        <f t="shared" si="1"/>
        <v/>
      </c>
      <c r="B77" s="70"/>
      <c r="C77" s="80"/>
      <c r="D77" s="80"/>
      <c r="E77" s="72"/>
      <c r="F77" s="73"/>
      <c r="G77" s="73"/>
      <c r="H77" s="74"/>
      <c r="I77" s="74"/>
      <c r="J77" s="201"/>
      <c r="K77" s="201"/>
      <c r="L77" s="75" t="str">
        <f>IFERROR(VLOOKUP(J77,'TABELA DE DEFEITOS'!$A$4:$B$1048576,2,0),"")</f>
        <v/>
      </c>
      <c r="M77" s="76" t="str">
        <f>IFERROR(VLOOKUP(J77,'TABELA DE DEFEITOS'!$A$4:$I$1048576,9,0),"")</f>
        <v/>
      </c>
      <c r="N77" s="73"/>
      <c r="O77" s="77"/>
      <c r="P77" s="77"/>
      <c r="Q77" s="78"/>
      <c r="R77" s="79"/>
    </row>
    <row r="78" spans="1:18">
      <c r="A78" s="69" t="str">
        <f t="shared" si="1"/>
        <v/>
      </c>
      <c r="B78" s="70"/>
      <c r="C78" s="80"/>
      <c r="D78" s="80"/>
      <c r="E78" s="72"/>
      <c r="F78" s="73"/>
      <c r="G78" s="73"/>
      <c r="H78" s="74"/>
      <c r="I78" s="74"/>
      <c r="J78" s="201"/>
      <c r="K78" s="201"/>
      <c r="L78" s="75" t="str">
        <f>IFERROR(VLOOKUP(J78,'TABELA DE DEFEITOS'!$A$4:$B$1048576,2,0),"")</f>
        <v/>
      </c>
      <c r="M78" s="76" t="str">
        <f>IFERROR(VLOOKUP(J78,'TABELA DE DEFEITOS'!$A$4:$I$1048576,9,0),"")</f>
        <v/>
      </c>
      <c r="N78" s="73"/>
      <c r="O78" s="77"/>
      <c r="P78" s="77"/>
      <c r="Q78" s="78"/>
      <c r="R78" s="79"/>
    </row>
    <row r="79" spans="1:18">
      <c r="A79" s="69" t="str">
        <f t="shared" si="1"/>
        <v/>
      </c>
      <c r="B79" s="70"/>
      <c r="C79" s="80"/>
      <c r="D79" s="80"/>
      <c r="E79" s="72"/>
      <c r="F79" s="73"/>
      <c r="G79" s="73"/>
      <c r="H79" s="74"/>
      <c r="I79" s="74"/>
      <c r="J79" s="201"/>
      <c r="K79" s="201"/>
      <c r="L79" s="75" t="str">
        <f>IFERROR(VLOOKUP(J79,'TABELA DE DEFEITOS'!$A$4:$B$1048576,2,0),"")</f>
        <v/>
      </c>
      <c r="M79" s="76" t="str">
        <f>IFERROR(VLOOKUP(J79,'TABELA DE DEFEITOS'!$A$4:$I$1048576,9,0),"")</f>
        <v/>
      </c>
      <c r="N79" s="73"/>
      <c r="O79" s="77"/>
      <c r="P79" s="77"/>
      <c r="Q79" s="78"/>
      <c r="R79" s="79"/>
    </row>
    <row r="80" spans="1:18">
      <c r="A80" s="69" t="str">
        <f t="shared" si="1"/>
        <v/>
      </c>
      <c r="B80" s="70"/>
      <c r="C80" s="80"/>
      <c r="D80" s="80"/>
      <c r="E80" s="72"/>
      <c r="F80" s="73"/>
      <c r="G80" s="73"/>
      <c r="H80" s="74"/>
      <c r="I80" s="74"/>
      <c r="J80" s="201"/>
      <c r="K80" s="201"/>
      <c r="L80" s="75" t="str">
        <f>IFERROR(VLOOKUP(J80,'TABELA DE DEFEITOS'!$A$4:$B$1048576,2,0),"")</f>
        <v/>
      </c>
      <c r="M80" s="76" t="str">
        <f>IFERROR(VLOOKUP(J80,'TABELA DE DEFEITOS'!$A$4:$I$1048576,9,0),"")</f>
        <v/>
      </c>
      <c r="N80" s="73"/>
      <c r="O80" s="77"/>
      <c r="P80" s="77"/>
      <c r="Q80" s="78"/>
      <c r="R80" s="79"/>
    </row>
    <row r="81" spans="1:18">
      <c r="A81" s="69" t="str">
        <f t="shared" si="1"/>
        <v/>
      </c>
      <c r="B81" s="70"/>
      <c r="C81" s="80"/>
      <c r="D81" s="80"/>
      <c r="E81" s="72"/>
      <c r="F81" s="73"/>
      <c r="G81" s="73"/>
      <c r="H81" s="74"/>
      <c r="I81" s="74"/>
      <c r="J81" s="201"/>
      <c r="K81" s="201"/>
      <c r="L81" s="75" t="str">
        <f>IFERROR(VLOOKUP(J81,'TABELA DE DEFEITOS'!$A$4:$B$1048576,2,0),"")</f>
        <v/>
      </c>
      <c r="M81" s="76" t="str">
        <f>IFERROR(VLOOKUP(J81,'TABELA DE DEFEITOS'!$A$4:$I$1048576,9,0),"")</f>
        <v/>
      </c>
      <c r="N81" s="73"/>
      <c r="O81" s="77"/>
      <c r="P81" s="77"/>
      <c r="Q81" s="78"/>
      <c r="R81" s="79"/>
    </row>
    <row r="82" spans="1:18">
      <c r="A82" s="69" t="str">
        <f t="shared" si="1"/>
        <v/>
      </c>
      <c r="B82" s="70"/>
      <c r="C82" s="80"/>
      <c r="D82" s="80"/>
      <c r="E82" s="72"/>
      <c r="F82" s="73"/>
      <c r="G82" s="73"/>
      <c r="H82" s="74"/>
      <c r="I82" s="74"/>
      <c r="J82" s="201"/>
      <c r="K82" s="201"/>
      <c r="L82" s="75" t="str">
        <f>IFERROR(VLOOKUP(J82,'TABELA DE DEFEITOS'!$A$4:$B$1048576,2,0),"")</f>
        <v/>
      </c>
      <c r="M82" s="76" t="str">
        <f>IFERROR(VLOOKUP(J82,'TABELA DE DEFEITOS'!$A$4:$I$1048576,9,0),"")</f>
        <v/>
      </c>
      <c r="N82" s="73"/>
      <c r="O82" s="77"/>
      <c r="P82" s="77"/>
      <c r="Q82" s="78"/>
      <c r="R82" s="79"/>
    </row>
    <row r="83" spans="1:18">
      <c r="A83" s="69" t="str">
        <f t="shared" si="1"/>
        <v/>
      </c>
      <c r="B83" s="70"/>
      <c r="C83" s="80"/>
      <c r="D83" s="80"/>
      <c r="E83" s="72"/>
      <c r="F83" s="73"/>
      <c r="G83" s="73"/>
      <c r="H83" s="74"/>
      <c r="I83" s="74"/>
      <c r="J83" s="201"/>
      <c r="K83" s="201"/>
      <c r="L83" s="75" t="str">
        <f>IFERROR(VLOOKUP(J83,'TABELA DE DEFEITOS'!$A$4:$B$1048576,2,0),"")</f>
        <v/>
      </c>
      <c r="M83" s="76" t="str">
        <f>IFERROR(VLOOKUP(J83,'TABELA DE DEFEITOS'!$A$4:$I$1048576,9,0),"")</f>
        <v/>
      </c>
      <c r="N83" s="73"/>
      <c r="O83" s="77"/>
      <c r="P83" s="77"/>
      <c r="Q83" s="78"/>
      <c r="R83" s="79"/>
    </row>
    <row r="84" spans="1:18">
      <c r="A84" s="69" t="str">
        <f t="shared" si="1"/>
        <v/>
      </c>
      <c r="B84" s="70"/>
      <c r="C84" s="80"/>
      <c r="D84" s="80"/>
      <c r="E84" s="72"/>
      <c r="F84" s="73"/>
      <c r="G84" s="73"/>
      <c r="H84" s="74"/>
      <c r="I84" s="74"/>
      <c r="J84" s="201"/>
      <c r="K84" s="201"/>
      <c r="L84" s="75" t="str">
        <f>IFERROR(VLOOKUP(J84,'TABELA DE DEFEITOS'!$A$4:$B$1048576,2,0),"")</f>
        <v/>
      </c>
      <c r="M84" s="76" t="str">
        <f>IFERROR(VLOOKUP(J84,'TABELA DE DEFEITOS'!$A$4:$I$1048576,9,0),"")</f>
        <v/>
      </c>
      <c r="N84" s="73"/>
      <c r="O84" s="77"/>
      <c r="P84" s="77"/>
      <c r="Q84" s="78"/>
      <c r="R84" s="79"/>
    </row>
    <row r="85" spans="1:18">
      <c r="A85" s="69" t="str">
        <f t="shared" si="1"/>
        <v/>
      </c>
      <c r="B85" s="70"/>
      <c r="C85" s="80"/>
      <c r="D85" s="80"/>
      <c r="E85" s="72"/>
      <c r="F85" s="73"/>
      <c r="G85" s="73"/>
      <c r="H85" s="74"/>
      <c r="I85" s="74"/>
      <c r="J85" s="201"/>
      <c r="K85" s="201"/>
      <c r="L85" s="75" t="str">
        <f>IFERROR(VLOOKUP(J85,'TABELA DE DEFEITOS'!$A$4:$B$1048576,2,0),"")</f>
        <v/>
      </c>
      <c r="M85" s="76" t="str">
        <f>IFERROR(VLOOKUP(J85,'TABELA DE DEFEITOS'!$A$4:$I$1048576,9,0),"")</f>
        <v/>
      </c>
      <c r="N85" s="73"/>
      <c r="O85" s="77"/>
      <c r="P85" s="77"/>
      <c r="Q85" s="78"/>
      <c r="R85" s="79"/>
    </row>
    <row r="86" spans="1:18">
      <c r="A86" s="69" t="str">
        <f t="shared" si="1"/>
        <v/>
      </c>
      <c r="B86" s="70"/>
      <c r="C86" s="80"/>
      <c r="D86" s="80"/>
      <c r="E86" s="72"/>
      <c r="F86" s="73"/>
      <c r="G86" s="73"/>
      <c r="H86" s="74"/>
      <c r="I86" s="74"/>
      <c r="J86" s="201"/>
      <c r="K86" s="201"/>
      <c r="L86" s="75" t="str">
        <f>IFERROR(VLOOKUP(J86,'TABELA DE DEFEITOS'!$A$4:$B$1048576,2,0),"")</f>
        <v/>
      </c>
      <c r="M86" s="76" t="str">
        <f>IFERROR(VLOOKUP(J86,'TABELA DE DEFEITOS'!$A$4:$I$1048576,9,0),"")</f>
        <v/>
      </c>
      <c r="N86" s="73"/>
      <c r="O86" s="77"/>
      <c r="P86" s="77"/>
      <c r="Q86" s="78"/>
      <c r="R86" s="79"/>
    </row>
    <row r="87" spans="1:18">
      <c r="A87" s="69" t="str">
        <f t="shared" si="1"/>
        <v/>
      </c>
      <c r="B87" s="70"/>
      <c r="C87" s="80"/>
      <c r="D87" s="80"/>
      <c r="E87" s="72"/>
      <c r="F87" s="73"/>
      <c r="G87" s="73"/>
      <c r="H87" s="74"/>
      <c r="I87" s="74"/>
      <c r="J87" s="201"/>
      <c r="K87" s="201"/>
      <c r="L87" s="75" t="str">
        <f>IFERROR(VLOOKUP(J87,'TABELA DE DEFEITOS'!$A$4:$B$1048576,2,0),"")</f>
        <v/>
      </c>
      <c r="M87" s="76" t="str">
        <f>IFERROR(VLOOKUP(J87,'TABELA DE DEFEITOS'!$A$4:$I$1048576,9,0),"")</f>
        <v/>
      </c>
      <c r="N87" s="73"/>
      <c r="O87" s="77"/>
      <c r="P87" s="77"/>
      <c r="Q87" s="78"/>
      <c r="R87" s="79"/>
    </row>
    <row r="88" spans="1:18">
      <c r="A88" s="69" t="str">
        <f t="shared" si="1"/>
        <v/>
      </c>
      <c r="B88" s="70"/>
      <c r="C88" s="80"/>
      <c r="D88" s="80"/>
      <c r="E88" s="72"/>
      <c r="F88" s="73"/>
      <c r="G88" s="73"/>
      <c r="H88" s="74"/>
      <c r="I88" s="74"/>
      <c r="J88" s="201"/>
      <c r="K88" s="201"/>
      <c r="L88" s="75" t="str">
        <f>IFERROR(VLOOKUP(J88,'TABELA DE DEFEITOS'!$A$4:$B$1048576,2,0),"")</f>
        <v/>
      </c>
      <c r="M88" s="76" t="str">
        <f>IFERROR(VLOOKUP(J88,'TABELA DE DEFEITOS'!$A$4:$I$1048576,9,0),"")</f>
        <v/>
      </c>
      <c r="N88" s="73"/>
      <c r="O88" s="77"/>
      <c r="P88" s="77"/>
      <c r="Q88" s="78"/>
      <c r="R88" s="79"/>
    </row>
    <row r="89" spans="1:18">
      <c r="A89" s="69" t="str">
        <f t="shared" si="1"/>
        <v/>
      </c>
      <c r="B89" s="70"/>
      <c r="C89" s="80"/>
      <c r="D89" s="80"/>
      <c r="E89" s="72"/>
      <c r="F89" s="73"/>
      <c r="G89" s="73"/>
      <c r="H89" s="74"/>
      <c r="I89" s="74"/>
      <c r="J89" s="201"/>
      <c r="K89" s="201"/>
      <c r="L89" s="75" t="str">
        <f>IFERROR(VLOOKUP(J89,'TABELA DE DEFEITOS'!$A$4:$B$1048576,2,0),"")</f>
        <v/>
      </c>
      <c r="M89" s="76" t="str">
        <f>IFERROR(VLOOKUP(J89,'TABELA DE DEFEITOS'!$A$4:$I$1048576,9,0),"")</f>
        <v/>
      </c>
      <c r="N89" s="73"/>
      <c r="O89" s="77"/>
      <c r="P89" s="77"/>
      <c r="Q89" s="78"/>
      <c r="R89" s="79"/>
    </row>
    <row r="90" spans="1:18">
      <c r="A90" s="69" t="str">
        <f t="shared" si="1"/>
        <v/>
      </c>
      <c r="B90" s="70"/>
      <c r="C90" s="80"/>
      <c r="D90" s="80"/>
      <c r="E90" s="72"/>
      <c r="F90" s="73"/>
      <c r="G90" s="73"/>
      <c r="H90" s="74"/>
      <c r="I90" s="74"/>
      <c r="J90" s="201"/>
      <c r="K90" s="201"/>
      <c r="L90" s="75" t="str">
        <f>IFERROR(VLOOKUP(J90,'TABELA DE DEFEITOS'!$A$4:$B$1048576,2,0),"")</f>
        <v/>
      </c>
      <c r="M90" s="76" t="str">
        <f>IFERROR(VLOOKUP(J90,'TABELA DE DEFEITOS'!$A$4:$I$1048576,9,0),"")</f>
        <v/>
      </c>
      <c r="N90" s="73"/>
      <c r="O90" s="77"/>
      <c r="P90" s="77"/>
      <c r="Q90" s="78"/>
      <c r="R90" s="79"/>
    </row>
    <row r="91" spans="1:18">
      <c r="A91" s="69" t="str">
        <f t="shared" si="1"/>
        <v/>
      </c>
      <c r="B91" s="70"/>
      <c r="C91" s="80"/>
      <c r="D91" s="80"/>
      <c r="E91" s="72"/>
      <c r="F91" s="73"/>
      <c r="G91" s="73"/>
      <c r="H91" s="74"/>
      <c r="I91" s="74"/>
      <c r="J91" s="201"/>
      <c r="K91" s="201"/>
      <c r="L91" s="75" t="str">
        <f>IFERROR(VLOOKUP(J91,'TABELA DE DEFEITOS'!$A$4:$B$1048576,2,0),"")</f>
        <v/>
      </c>
      <c r="M91" s="76" t="str">
        <f>IFERROR(VLOOKUP(J91,'TABELA DE DEFEITOS'!$A$4:$I$1048576,9,0),"")</f>
        <v/>
      </c>
      <c r="N91" s="73"/>
      <c r="O91" s="77"/>
      <c r="P91" s="77"/>
      <c r="Q91" s="78"/>
      <c r="R91" s="79"/>
    </row>
    <row r="92" spans="1:18">
      <c r="A92" s="69" t="str">
        <f t="shared" si="1"/>
        <v/>
      </c>
      <c r="B92" s="70"/>
      <c r="C92" s="80"/>
      <c r="D92" s="80"/>
      <c r="E92" s="72"/>
      <c r="F92" s="73"/>
      <c r="G92" s="73"/>
      <c r="H92" s="74"/>
      <c r="I92" s="74"/>
      <c r="J92" s="201"/>
      <c r="K92" s="201"/>
      <c r="L92" s="75" t="str">
        <f>IFERROR(VLOOKUP(J92,'TABELA DE DEFEITOS'!$A$4:$B$1048576,2,0),"")</f>
        <v/>
      </c>
      <c r="M92" s="76" t="str">
        <f>IFERROR(VLOOKUP(J92,'TABELA DE DEFEITOS'!$A$4:$I$1048576,9,0),"")</f>
        <v/>
      </c>
      <c r="N92" s="73"/>
      <c r="O92" s="77"/>
      <c r="P92" s="77"/>
      <c r="Q92" s="78"/>
      <c r="R92" s="79"/>
    </row>
    <row r="93" spans="1:18">
      <c r="A93" s="69" t="str">
        <f t="shared" si="1"/>
        <v/>
      </c>
      <c r="B93" s="70"/>
      <c r="C93" s="80"/>
      <c r="D93" s="80"/>
      <c r="E93" s="72"/>
      <c r="F93" s="73"/>
      <c r="G93" s="73"/>
      <c r="H93" s="74"/>
      <c r="I93" s="74"/>
      <c r="J93" s="201"/>
      <c r="K93" s="201"/>
      <c r="L93" s="75" t="str">
        <f>IFERROR(VLOOKUP(J93,'TABELA DE DEFEITOS'!$A$4:$B$1048576,2,0),"")</f>
        <v/>
      </c>
      <c r="M93" s="76" t="str">
        <f>IFERROR(VLOOKUP(J93,'TABELA DE DEFEITOS'!$A$4:$I$1048576,9,0),"")</f>
        <v/>
      </c>
      <c r="N93" s="73"/>
      <c r="O93" s="77"/>
      <c r="P93" s="77"/>
      <c r="Q93" s="78"/>
      <c r="R93" s="79"/>
    </row>
    <row r="94" spans="1:18">
      <c r="A94" s="69" t="str">
        <f t="shared" si="1"/>
        <v/>
      </c>
      <c r="B94" s="70"/>
      <c r="C94" s="80"/>
      <c r="D94" s="80"/>
      <c r="E94" s="72"/>
      <c r="F94" s="73"/>
      <c r="G94" s="73"/>
      <c r="H94" s="74"/>
      <c r="I94" s="74"/>
      <c r="J94" s="201"/>
      <c r="K94" s="201"/>
      <c r="L94" s="75" t="str">
        <f>IFERROR(VLOOKUP(J94,'TABELA DE DEFEITOS'!$A$4:$B$1048576,2,0),"")</f>
        <v/>
      </c>
      <c r="M94" s="76" t="str">
        <f>IFERROR(VLOOKUP(J94,'TABELA DE DEFEITOS'!$A$4:$I$1048576,9,0),"")</f>
        <v/>
      </c>
      <c r="N94" s="73"/>
      <c r="O94" s="77"/>
      <c r="P94" s="77"/>
      <c r="Q94" s="78"/>
      <c r="R94" s="79"/>
    </row>
    <row r="95" spans="1:18">
      <c r="A95" s="69" t="str">
        <f t="shared" si="1"/>
        <v/>
      </c>
      <c r="B95" s="70"/>
      <c r="C95" s="80"/>
      <c r="D95" s="80"/>
      <c r="E95" s="72"/>
      <c r="F95" s="73"/>
      <c r="G95" s="73"/>
      <c r="H95" s="74"/>
      <c r="I95" s="74"/>
      <c r="J95" s="201"/>
      <c r="K95" s="201"/>
      <c r="L95" s="75" t="str">
        <f>IFERROR(VLOOKUP(J95,'TABELA DE DEFEITOS'!$A$4:$B$1048576,2,0),"")</f>
        <v/>
      </c>
      <c r="M95" s="76" t="str">
        <f>IFERROR(VLOOKUP(J95,'TABELA DE DEFEITOS'!$A$4:$I$1048576,9,0),"")</f>
        <v/>
      </c>
      <c r="N95" s="73"/>
      <c r="O95" s="77"/>
      <c r="P95" s="77"/>
      <c r="Q95" s="78"/>
      <c r="R95" s="79"/>
    </row>
    <row r="96" spans="1:18">
      <c r="A96" s="69" t="str">
        <f t="shared" si="1"/>
        <v/>
      </c>
      <c r="B96" s="70"/>
      <c r="C96" s="80"/>
      <c r="D96" s="80"/>
      <c r="E96" s="72"/>
      <c r="F96" s="73"/>
      <c r="G96" s="73"/>
      <c r="H96" s="74"/>
      <c r="I96" s="74"/>
      <c r="J96" s="201"/>
      <c r="K96" s="201"/>
      <c r="L96" s="75" t="str">
        <f>IFERROR(VLOOKUP(J96,'TABELA DE DEFEITOS'!$A$4:$B$1048576,2,0),"")</f>
        <v/>
      </c>
      <c r="M96" s="76" t="str">
        <f>IFERROR(VLOOKUP(J96,'TABELA DE DEFEITOS'!$A$4:$I$1048576,9,0),"")</f>
        <v/>
      </c>
      <c r="N96" s="73"/>
      <c r="O96" s="77"/>
      <c r="P96" s="77"/>
      <c r="Q96" s="78"/>
      <c r="R96" s="79"/>
    </row>
    <row r="97" spans="1:18">
      <c r="A97" s="69" t="str">
        <f t="shared" si="1"/>
        <v/>
      </c>
      <c r="B97" s="70"/>
      <c r="C97" s="80"/>
      <c r="D97" s="80"/>
      <c r="E97" s="72"/>
      <c r="F97" s="73"/>
      <c r="G97" s="73"/>
      <c r="H97" s="74"/>
      <c r="I97" s="74"/>
      <c r="J97" s="201"/>
      <c r="K97" s="201"/>
      <c r="L97" s="75" t="str">
        <f>IFERROR(VLOOKUP(J97,'TABELA DE DEFEITOS'!$A$4:$B$1048576,2,0),"")</f>
        <v/>
      </c>
      <c r="M97" s="76" t="str">
        <f>IFERROR(VLOOKUP(J97,'TABELA DE DEFEITOS'!$A$4:$I$1048576,9,0),"")</f>
        <v/>
      </c>
      <c r="N97" s="73"/>
      <c r="O97" s="77"/>
      <c r="P97" s="77"/>
      <c r="Q97" s="78"/>
      <c r="R97" s="79"/>
    </row>
    <row r="98" spans="1:18">
      <c r="A98" s="69" t="str">
        <f t="shared" si="1"/>
        <v/>
      </c>
      <c r="B98" s="70"/>
      <c r="C98" s="80"/>
      <c r="D98" s="80"/>
      <c r="E98" s="72"/>
      <c r="F98" s="73"/>
      <c r="G98" s="73"/>
      <c r="H98" s="74"/>
      <c r="I98" s="74"/>
      <c r="J98" s="201"/>
      <c r="K98" s="201"/>
      <c r="L98" s="75" t="str">
        <f>IFERROR(VLOOKUP(J98,'TABELA DE DEFEITOS'!$A$4:$B$1048576,2,0),"")</f>
        <v/>
      </c>
      <c r="M98" s="76" t="str">
        <f>IFERROR(VLOOKUP(J98,'TABELA DE DEFEITOS'!$A$4:$I$1048576,9,0),"")</f>
        <v/>
      </c>
      <c r="N98" s="73"/>
      <c r="O98" s="77"/>
      <c r="P98" s="77"/>
      <c r="Q98" s="78"/>
      <c r="R98" s="79"/>
    </row>
    <row r="99" spans="1:18">
      <c r="A99" s="69" t="str">
        <f t="shared" si="1"/>
        <v/>
      </c>
      <c r="B99" s="70"/>
      <c r="C99" s="80"/>
      <c r="D99" s="80"/>
      <c r="E99" s="72"/>
      <c r="F99" s="73"/>
      <c r="G99" s="73"/>
      <c r="H99" s="74"/>
      <c r="I99" s="74"/>
      <c r="J99" s="201"/>
      <c r="K99" s="201"/>
      <c r="L99" s="75" t="str">
        <f>IFERROR(VLOOKUP(J99,'TABELA DE DEFEITOS'!$A$4:$B$1048576,2,0),"")</f>
        <v/>
      </c>
      <c r="M99" s="76" t="str">
        <f>IFERROR(VLOOKUP(J99,'TABELA DE DEFEITOS'!$A$4:$I$1048576,9,0),"")</f>
        <v/>
      </c>
      <c r="N99" s="73"/>
      <c r="O99" s="77"/>
      <c r="P99" s="77"/>
      <c r="Q99" s="78"/>
      <c r="R99" s="79"/>
    </row>
    <row r="100" spans="1:18">
      <c r="A100" s="69" t="str">
        <f t="shared" si="1"/>
        <v/>
      </c>
      <c r="B100" s="70"/>
      <c r="C100" s="80"/>
      <c r="D100" s="80"/>
      <c r="E100" s="72"/>
      <c r="F100" s="73"/>
      <c r="G100" s="73"/>
      <c r="H100" s="74"/>
      <c r="I100" s="74"/>
      <c r="J100" s="201"/>
      <c r="K100" s="201"/>
      <c r="L100" s="75" t="str">
        <f>IFERROR(VLOOKUP(J100,'TABELA DE DEFEITOS'!$A$4:$B$1048576,2,0),"")</f>
        <v/>
      </c>
      <c r="M100" s="76" t="str">
        <f>IFERROR(VLOOKUP(J100,'TABELA DE DEFEITOS'!$A$4:$I$1048576,9,0),"")</f>
        <v/>
      </c>
      <c r="N100" s="73"/>
      <c r="O100" s="77"/>
      <c r="P100" s="77"/>
      <c r="Q100" s="78"/>
      <c r="R100" s="79"/>
    </row>
    <row r="101" spans="1:18">
      <c r="A101" s="69" t="str">
        <f t="shared" si="1"/>
        <v/>
      </c>
      <c r="B101" s="70"/>
      <c r="C101" s="80"/>
      <c r="D101" s="80"/>
      <c r="E101" s="72"/>
      <c r="F101" s="73"/>
      <c r="G101" s="73"/>
      <c r="H101" s="74"/>
      <c r="I101" s="74"/>
      <c r="J101" s="201"/>
      <c r="K101" s="201"/>
      <c r="L101" s="75" t="str">
        <f>IFERROR(VLOOKUP(J101,'TABELA DE DEFEITOS'!$A$4:$B$1048576,2,0),"")</f>
        <v/>
      </c>
      <c r="M101" s="76" t="str">
        <f>IFERROR(VLOOKUP(J101,'TABELA DE DEFEITOS'!$A$4:$I$1048576,9,0),"")</f>
        <v/>
      </c>
      <c r="N101" s="73"/>
      <c r="O101" s="77"/>
      <c r="P101" s="77"/>
      <c r="Q101" s="78"/>
      <c r="R101" s="79"/>
    </row>
    <row r="102" spans="1:18">
      <c r="A102" s="69" t="str">
        <f t="shared" si="1"/>
        <v/>
      </c>
      <c r="B102" s="70"/>
      <c r="C102" s="80"/>
      <c r="D102" s="80"/>
      <c r="E102" s="72"/>
      <c r="F102" s="73"/>
      <c r="G102" s="73"/>
      <c r="H102" s="74"/>
      <c r="I102" s="74"/>
      <c r="J102" s="201"/>
      <c r="K102" s="201"/>
      <c r="L102" s="75" t="str">
        <f>IFERROR(VLOOKUP(J102,'TABELA DE DEFEITOS'!$A$4:$B$1048576,2,0),"")</f>
        <v/>
      </c>
      <c r="M102" s="76" t="str">
        <f>IFERROR(VLOOKUP(J102,'TABELA DE DEFEITOS'!$A$4:$I$1048576,9,0),"")</f>
        <v/>
      </c>
      <c r="N102" s="73"/>
      <c r="O102" s="77"/>
      <c r="P102" s="77"/>
      <c r="Q102" s="78"/>
      <c r="R102" s="79"/>
    </row>
    <row r="103" spans="1:18">
      <c r="A103" s="69" t="str">
        <f t="shared" si="1"/>
        <v/>
      </c>
      <c r="B103" s="70"/>
      <c r="C103" s="80"/>
      <c r="D103" s="80"/>
      <c r="E103" s="72"/>
      <c r="F103" s="73"/>
      <c r="G103" s="73"/>
      <c r="H103" s="74"/>
      <c r="I103" s="74"/>
      <c r="J103" s="201"/>
      <c r="K103" s="201"/>
      <c r="L103" s="75" t="str">
        <f>IFERROR(VLOOKUP(J103,'TABELA DE DEFEITOS'!$A$4:$B$1048576,2,0),"")</f>
        <v/>
      </c>
      <c r="M103" s="76" t="str">
        <f>IFERROR(VLOOKUP(J103,'TABELA DE DEFEITOS'!$A$4:$I$1048576,9,0),"")</f>
        <v/>
      </c>
      <c r="N103" s="73"/>
      <c r="O103" s="77"/>
      <c r="P103" s="77"/>
      <c r="Q103" s="78"/>
      <c r="R103" s="79"/>
    </row>
    <row r="104" spans="1:18">
      <c r="A104" s="69" t="str">
        <f t="shared" si="1"/>
        <v/>
      </c>
      <c r="B104" s="70"/>
      <c r="C104" s="80"/>
      <c r="D104" s="80"/>
      <c r="E104" s="72"/>
      <c r="F104" s="73"/>
      <c r="G104" s="73"/>
      <c r="H104" s="74"/>
      <c r="I104" s="74"/>
      <c r="J104" s="201"/>
      <c r="K104" s="201"/>
      <c r="L104" s="75" t="str">
        <f>IFERROR(VLOOKUP(J104,'TABELA DE DEFEITOS'!$A$4:$B$1048576,2,0),"")</f>
        <v/>
      </c>
      <c r="M104" s="76" t="str">
        <f>IFERROR(VLOOKUP(J104,'TABELA DE DEFEITOS'!$A$4:$I$1048576,9,0),"")</f>
        <v/>
      </c>
      <c r="N104" s="73"/>
      <c r="O104" s="77"/>
      <c r="P104" s="77"/>
      <c r="Q104" s="78"/>
      <c r="R104" s="79"/>
    </row>
    <row r="105" spans="1:18">
      <c r="A105" s="69" t="str">
        <f t="shared" si="1"/>
        <v/>
      </c>
      <c r="B105" s="70"/>
      <c r="C105" s="80"/>
      <c r="D105" s="80"/>
      <c r="E105" s="72"/>
      <c r="F105" s="73"/>
      <c r="G105" s="73"/>
      <c r="H105" s="74"/>
      <c r="I105" s="74"/>
      <c r="J105" s="201"/>
      <c r="K105" s="201"/>
      <c r="L105" s="75" t="str">
        <f>IFERROR(VLOOKUP(J105,'TABELA DE DEFEITOS'!$A$4:$B$1048576,2,0),"")</f>
        <v/>
      </c>
      <c r="M105" s="76" t="str">
        <f>IFERROR(VLOOKUP(J105,'TABELA DE DEFEITOS'!$A$4:$I$1048576,9,0),"")</f>
        <v/>
      </c>
      <c r="N105" s="73"/>
      <c r="O105" s="77"/>
      <c r="P105" s="77"/>
      <c r="Q105" s="78"/>
      <c r="R105" s="79"/>
    </row>
    <row r="106" spans="1:18">
      <c r="A106" s="69" t="str">
        <f t="shared" si="1"/>
        <v/>
      </c>
      <c r="B106" s="70"/>
      <c r="C106" s="80"/>
      <c r="D106" s="80"/>
      <c r="E106" s="72"/>
      <c r="F106" s="73"/>
      <c r="G106" s="73"/>
      <c r="H106" s="74"/>
      <c r="I106" s="74"/>
      <c r="J106" s="201"/>
      <c r="K106" s="201"/>
      <c r="L106" s="75" t="str">
        <f>IFERROR(VLOOKUP(J106,'TABELA DE DEFEITOS'!$A$4:$B$1048576,2,0),"")</f>
        <v/>
      </c>
      <c r="M106" s="76" t="str">
        <f>IFERROR(VLOOKUP(J106,'TABELA DE DEFEITOS'!$A$4:$I$1048576,9,0),"")</f>
        <v/>
      </c>
      <c r="N106" s="73"/>
      <c r="O106" s="77"/>
      <c r="P106" s="77"/>
      <c r="Q106" s="78"/>
      <c r="R106" s="79"/>
    </row>
    <row r="107" spans="1:18">
      <c r="A107" s="69" t="str">
        <f t="shared" si="1"/>
        <v/>
      </c>
      <c r="B107" s="70"/>
      <c r="C107" s="80"/>
      <c r="D107" s="80"/>
      <c r="E107" s="72"/>
      <c r="F107" s="73"/>
      <c r="G107" s="73"/>
      <c r="H107" s="74"/>
      <c r="I107" s="74"/>
      <c r="J107" s="201"/>
      <c r="K107" s="201"/>
      <c r="L107" s="75" t="str">
        <f>IFERROR(VLOOKUP(J107,'TABELA DE DEFEITOS'!$A$4:$B$1048576,2,0),"")</f>
        <v/>
      </c>
      <c r="M107" s="76" t="str">
        <f>IFERROR(VLOOKUP(J107,'TABELA DE DEFEITOS'!$A$4:$I$1048576,9,0),"")</f>
        <v/>
      </c>
      <c r="N107" s="73"/>
      <c r="O107" s="77"/>
      <c r="P107" s="77"/>
      <c r="Q107" s="78"/>
      <c r="R107" s="79"/>
    </row>
    <row r="108" spans="1:18">
      <c r="A108" s="69" t="str">
        <f t="shared" si="1"/>
        <v/>
      </c>
      <c r="B108" s="70"/>
      <c r="C108" s="80"/>
      <c r="D108" s="80"/>
      <c r="E108" s="72"/>
      <c r="F108" s="73"/>
      <c r="G108" s="73"/>
      <c r="H108" s="74"/>
      <c r="I108" s="74"/>
      <c r="J108" s="201"/>
      <c r="K108" s="201"/>
      <c r="L108" s="75" t="str">
        <f>IFERROR(VLOOKUP(J108,'TABELA DE DEFEITOS'!$A$4:$B$1048576,2,0),"")</f>
        <v/>
      </c>
      <c r="M108" s="76" t="str">
        <f>IFERROR(VLOOKUP(J108,'TABELA DE DEFEITOS'!$A$4:$I$1048576,9,0),"")</f>
        <v/>
      </c>
      <c r="N108" s="73"/>
      <c r="O108" s="77"/>
      <c r="P108" s="77"/>
      <c r="Q108" s="78"/>
      <c r="R108" s="79"/>
    </row>
    <row r="109" spans="1:18">
      <c r="A109" s="69" t="str">
        <f t="shared" si="1"/>
        <v/>
      </c>
      <c r="B109" s="70"/>
      <c r="C109" s="80"/>
      <c r="D109" s="80"/>
      <c r="E109" s="72"/>
      <c r="F109" s="73"/>
      <c r="G109" s="73"/>
      <c r="H109" s="74"/>
      <c r="I109" s="74"/>
      <c r="J109" s="201"/>
      <c r="K109" s="201"/>
      <c r="L109" s="75" t="str">
        <f>IFERROR(VLOOKUP(J109,'TABELA DE DEFEITOS'!$A$4:$B$1048576,2,0),"")</f>
        <v/>
      </c>
      <c r="M109" s="76" t="str">
        <f>IFERROR(VLOOKUP(J109,'TABELA DE DEFEITOS'!$A$4:$I$1048576,9,0),"")</f>
        <v/>
      </c>
      <c r="N109" s="73"/>
      <c r="O109" s="77"/>
      <c r="P109" s="77"/>
      <c r="Q109" s="78"/>
      <c r="R109" s="79"/>
    </row>
    <row r="110" spans="1:18">
      <c r="A110" s="69" t="str">
        <f t="shared" si="1"/>
        <v/>
      </c>
      <c r="B110" s="70"/>
      <c r="C110" s="80"/>
      <c r="D110" s="80"/>
      <c r="E110" s="72"/>
      <c r="F110" s="73"/>
      <c r="G110" s="73"/>
      <c r="H110" s="74"/>
      <c r="I110" s="74"/>
      <c r="J110" s="201"/>
      <c r="K110" s="201"/>
      <c r="L110" s="75" t="str">
        <f>IFERROR(VLOOKUP(J110,'TABELA DE DEFEITOS'!$A$4:$B$1048576,2,0),"")</f>
        <v/>
      </c>
      <c r="M110" s="76" t="str">
        <f>IFERROR(VLOOKUP(J110,'TABELA DE DEFEITOS'!$A$4:$I$1048576,9,0),"")</f>
        <v/>
      </c>
      <c r="N110" s="73"/>
      <c r="O110" s="77"/>
      <c r="P110" s="77"/>
      <c r="Q110" s="78"/>
      <c r="R110" s="79"/>
    </row>
    <row r="111" spans="1:18">
      <c r="A111" s="69" t="str">
        <f t="shared" si="1"/>
        <v/>
      </c>
      <c r="B111" s="70"/>
      <c r="C111" s="80"/>
      <c r="D111" s="80"/>
      <c r="E111" s="72"/>
      <c r="F111" s="73"/>
      <c r="G111" s="73"/>
      <c r="H111" s="74"/>
      <c r="I111" s="74"/>
      <c r="J111" s="201"/>
      <c r="K111" s="201"/>
      <c r="L111" s="75" t="str">
        <f>IFERROR(VLOOKUP(J111,'TABELA DE DEFEITOS'!$A$4:$B$1048576,2,0),"")</f>
        <v/>
      </c>
      <c r="M111" s="76" t="str">
        <f>IFERROR(VLOOKUP(J111,'TABELA DE DEFEITOS'!$A$4:$I$1048576,9,0),"")</f>
        <v/>
      </c>
      <c r="N111" s="73"/>
      <c r="O111" s="77"/>
      <c r="P111" s="77"/>
      <c r="Q111" s="78"/>
      <c r="R111" s="79"/>
    </row>
    <row r="112" spans="1:18">
      <c r="A112" s="69" t="str">
        <f t="shared" si="1"/>
        <v/>
      </c>
      <c r="B112" s="70"/>
      <c r="C112" s="80"/>
      <c r="D112" s="80"/>
      <c r="E112" s="72"/>
      <c r="F112" s="73"/>
      <c r="G112" s="73"/>
      <c r="H112" s="74"/>
      <c r="I112" s="74"/>
      <c r="J112" s="201"/>
      <c r="K112" s="201"/>
      <c r="L112" s="75" t="str">
        <f>IFERROR(VLOOKUP(J112,'TABELA DE DEFEITOS'!$A$4:$B$1048576,2,0),"")</f>
        <v/>
      </c>
      <c r="M112" s="76" t="str">
        <f>IFERROR(VLOOKUP(J112,'TABELA DE DEFEITOS'!$A$4:$I$1048576,9,0),"")</f>
        <v/>
      </c>
      <c r="N112" s="73"/>
      <c r="O112" s="77"/>
      <c r="P112" s="77"/>
      <c r="Q112" s="78"/>
      <c r="R112" s="79"/>
    </row>
    <row r="113" spans="1:18">
      <c r="A113" s="69" t="str">
        <f t="shared" si="1"/>
        <v/>
      </c>
      <c r="B113" s="70"/>
      <c r="C113" s="80"/>
      <c r="D113" s="80"/>
      <c r="E113" s="72"/>
      <c r="F113" s="73"/>
      <c r="G113" s="73"/>
      <c r="H113" s="74"/>
      <c r="I113" s="74"/>
      <c r="J113" s="201"/>
      <c r="K113" s="201"/>
      <c r="L113" s="75" t="str">
        <f>IFERROR(VLOOKUP(J113,'TABELA DE DEFEITOS'!$A$4:$B$1048576,2,0),"")</f>
        <v/>
      </c>
      <c r="M113" s="76" t="str">
        <f>IFERROR(VLOOKUP(J113,'TABELA DE DEFEITOS'!$A$4:$I$1048576,9,0),"")</f>
        <v/>
      </c>
      <c r="N113" s="73"/>
      <c r="O113" s="77"/>
      <c r="P113" s="77"/>
      <c r="Q113" s="78"/>
      <c r="R113" s="79"/>
    </row>
    <row r="114" spans="1:18">
      <c r="A114" s="69" t="str">
        <f t="shared" si="1"/>
        <v/>
      </c>
      <c r="B114" s="70"/>
      <c r="C114" s="80"/>
      <c r="D114" s="80"/>
      <c r="E114" s="72"/>
      <c r="F114" s="73"/>
      <c r="G114" s="73"/>
      <c r="H114" s="74"/>
      <c r="I114" s="74"/>
      <c r="J114" s="201"/>
      <c r="K114" s="201"/>
      <c r="L114" s="75" t="str">
        <f>IFERROR(VLOOKUP(J114,'TABELA DE DEFEITOS'!$A$4:$B$1048576,2,0),"")</f>
        <v/>
      </c>
      <c r="M114" s="76" t="str">
        <f>IFERROR(VLOOKUP(J114,'TABELA DE DEFEITOS'!$A$4:$I$1048576,9,0),"")</f>
        <v/>
      </c>
      <c r="N114" s="73"/>
      <c r="O114" s="77"/>
      <c r="P114" s="77"/>
      <c r="Q114" s="78"/>
      <c r="R114" s="79"/>
    </row>
    <row r="115" spans="1:18">
      <c r="A115" s="69" t="str">
        <f t="shared" si="1"/>
        <v/>
      </c>
      <c r="B115" s="70"/>
      <c r="C115" s="80"/>
      <c r="D115" s="80"/>
      <c r="E115" s="72"/>
      <c r="F115" s="73"/>
      <c r="G115" s="73"/>
      <c r="H115" s="74"/>
      <c r="I115" s="74"/>
      <c r="J115" s="201"/>
      <c r="K115" s="201"/>
      <c r="L115" s="75" t="str">
        <f>IFERROR(VLOOKUP(J115,'TABELA DE DEFEITOS'!$A$4:$B$1048576,2,0),"")</f>
        <v/>
      </c>
      <c r="M115" s="76" t="str">
        <f>IFERROR(VLOOKUP(J115,'TABELA DE DEFEITOS'!$A$4:$I$1048576,9,0),"")</f>
        <v/>
      </c>
      <c r="N115" s="73"/>
      <c r="O115" s="77"/>
      <c r="P115" s="77"/>
      <c r="Q115" s="78"/>
      <c r="R115" s="79"/>
    </row>
    <row r="116" spans="1:18">
      <c r="A116" s="69" t="str">
        <f t="shared" si="1"/>
        <v/>
      </c>
      <c r="B116" s="70"/>
      <c r="C116" s="80"/>
      <c r="D116" s="80"/>
      <c r="E116" s="72"/>
      <c r="F116" s="73"/>
      <c r="G116" s="73"/>
      <c r="H116" s="74"/>
      <c r="I116" s="74"/>
      <c r="J116" s="201"/>
      <c r="K116" s="201"/>
      <c r="L116" s="75" t="str">
        <f>IFERROR(VLOOKUP(J116,'TABELA DE DEFEITOS'!$A$4:$B$1048576,2,0),"")</f>
        <v/>
      </c>
      <c r="M116" s="76" t="str">
        <f>IFERROR(VLOOKUP(J116,'TABELA DE DEFEITOS'!$A$4:$I$1048576,9,0),"")</f>
        <v/>
      </c>
      <c r="N116" s="73"/>
      <c r="O116" s="77"/>
      <c r="P116" s="77"/>
      <c r="Q116" s="78"/>
      <c r="R116" s="79"/>
    </row>
    <row r="117" spans="1:18">
      <c r="A117" s="69" t="str">
        <f t="shared" si="1"/>
        <v/>
      </c>
      <c r="B117" s="70"/>
      <c r="C117" s="80"/>
      <c r="D117" s="80"/>
      <c r="E117" s="72"/>
      <c r="F117" s="73"/>
      <c r="G117" s="73"/>
      <c r="H117" s="74"/>
      <c r="I117" s="74"/>
      <c r="J117" s="201"/>
      <c r="K117" s="201"/>
      <c r="L117" s="75" t="str">
        <f>IFERROR(VLOOKUP(J117,'TABELA DE DEFEITOS'!$A$4:$B$1048576,2,0),"")</f>
        <v/>
      </c>
      <c r="M117" s="76" t="str">
        <f>IFERROR(VLOOKUP(J117,'TABELA DE DEFEITOS'!$A$4:$I$1048576,9,0),"")</f>
        <v/>
      </c>
      <c r="N117" s="73"/>
      <c r="O117" s="77"/>
      <c r="P117" s="77"/>
      <c r="Q117" s="78"/>
      <c r="R117" s="79"/>
    </row>
    <row r="118" spans="1:18">
      <c r="A118" s="69" t="str">
        <f t="shared" si="1"/>
        <v/>
      </c>
      <c r="B118" s="70"/>
      <c r="C118" s="80"/>
      <c r="D118" s="80"/>
      <c r="E118" s="72"/>
      <c r="F118" s="73"/>
      <c r="G118" s="73"/>
      <c r="H118" s="74"/>
      <c r="I118" s="74"/>
      <c r="J118" s="201"/>
      <c r="K118" s="201"/>
      <c r="L118" s="75" t="str">
        <f>IFERROR(VLOOKUP(J118,'TABELA DE DEFEITOS'!$A$4:$B$1048576,2,0),"")</f>
        <v/>
      </c>
      <c r="M118" s="76" t="str">
        <f>IFERROR(VLOOKUP(J118,'TABELA DE DEFEITOS'!$A$4:$I$1048576,9,0),"")</f>
        <v/>
      </c>
      <c r="N118" s="73"/>
      <c r="O118" s="77"/>
      <c r="P118" s="77"/>
      <c r="Q118" s="78"/>
      <c r="R118" s="79"/>
    </row>
    <row r="119" spans="1:18">
      <c r="A119" s="69" t="str">
        <f t="shared" si="1"/>
        <v/>
      </c>
      <c r="B119" s="70"/>
      <c r="C119" s="80"/>
      <c r="D119" s="80"/>
      <c r="E119" s="72"/>
      <c r="F119" s="73"/>
      <c r="G119" s="73"/>
      <c r="H119" s="74"/>
      <c r="I119" s="74"/>
      <c r="J119" s="201"/>
      <c r="K119" s="201"/>
      <c r="L119" s="75" t="str">
        <f>IFERROR(VLOOKUP(J119,'TABELA DE DEFEITOS'!$A$4:$B$1048576,2,0),"")</f>
        <v/>
      </c>
      <c r="M119" s="76" t="str">
        <f>IFERROR(VLOOKUP(J119,'TABELA DE DEFEITOS'!$A$4:$I$1048576,9,0),"")</f>
        <v/>
      </c>
      <c r="N119" s="73"/>
      <c r="O119" s="77"/>
      <c r="P119" s="77"/>
      <c r="Q119" s="78"/>
      <c r="R119" s="79"/>
    </row>
    <row r="120" spans="1:18">
      <c r="A120" s="69" t="str">
        <f t="shared" si="1"/>
        <v/>
      </c>
      <c r="B120" s="70"/>
      <c r="C120" s="80"/>
      <c r="D120" s="80"/>
      <c r="E120" s="72"/>
      <c r="F120" s="73"/>
      <c r="G120" s="73"/>
      <c r="H120" s="74"/>
      <c r="I120" s="74"/>
      <c r="J120" s="201"/>
      <c r="K120" s="201"/>
      <c r="L120" s="75" t="str">
        <f>IFERROR(VLOOKUP(J120,'TABELA DE DEFEITOS'!$A$4:$B$1048576,2,0),"")</f>
        <v/>
      </c>
      <c r="M120" s="76" t="str">
        <f>IFERROR(VLOOKUP(J120,'TABELA DE DEFEITOS'!$A$4:$I$1048576,9,0),"")</f>
        <v/>
      </c>
      <c r="N120" s="73"/>
      <c r="O120" s="77"/>
      <c r="P120" s="77"/>
      <c r="Q120" s="78"/>
      <c r="R120" s="79"/>
    </row>
    <row r="121" spans="1:18">
      <c r="A121" s="69" t="str">
        <f t="shared" si="1"/>
        <v/>
      </c>
      <c r="B121" s="70"/>
      <c r="C121" s="80"/>
      <c r="D121" s="80"/>
      <c r="E121" s="72"/>
      <c r="F121" s="73"/>
      <c r="G121" s="73"/>
      <c r="H121" s="74"/>
      <c r="I121" s="74"/>
      <c r="J121" s="201"/>
      <c r="K121" s="201"/>
      <c r="L121" s="75" t="str">
        <f>IFERROR(VLOOKUP(J121,'TABELA DE DEFEITOS'!$A$4:$B$1048576,2,0),"")</f>
        <v/>
      </c>
      <c r="M121" s="76" t="str">
        <f>IFERROR(VLOOKUP(J121,'TABELA DE DEFEITOS'!$A$4:$I$1048576,9,0),"")</f>
        <v/>
      </c>
      <c r="N121" s="73"/>
      <c r="O121" s="77"/>
      <c r="P121" s="77"/>
      <c r="Q121" s="78"/>
      <c r="R121" s="79"/>
    </row>
    <row r="122" spans="1:18">
      <c r="A122" s="69" t="str">
        <f t="shared" si="1"/>
        <v/>
      </c>
      <c r="B122" s="70"/>
      <c r="C122" s="80"/>
      <c r="D122" s="80"/>
      <c r="E122" s="72"/>
      <c r="F122" s="73"/>
      <c r="G122" s="73"/>
      <c r="H122" s="74"/>
      <c r="I122" s="74"/>
      <c r="J122" s="201"/>
      <c r="K122" s="201"/>
      <c r="L122" s="75" t="str">
        <f>IFERROR(VLOOKUP(J122,'TABELA DE DEFEITOS'!$A$4:$B$1048576,2,0),"")</f>
        <v/>
      </c>
      <c r="M122" s="76" t="str">
        <f>IFERROR(VLOOKUP(J122,'TABELA DE DEFEITOS'!$A$4:$I$1048576,9,0),"")</f>
        <v/>
      </c>
      <c r="N122" s="73"/>
      <c r="O122" s="77"/>
      <c r="P122" s="77"/>
      <c r="Q122" s="78"/>
      <c r="R122" s="79"/>
    </row>
    <row r="123" spans="1:18">
      <c r="A123" s="69" t="str">
        <f t="shared" si="1"/>
        <v/>
      </c>
      <c r="B123" s="70"/>
      <c r="C123" s="80"/>
      <c r="D123" s="80"/>
      <c r="E123" s="72"/>
      <c r="F123" s="73"/>
      <c r="G123" s="73"/>
      <c r="H123" s="74"/>
      <c r="I123" s="74"/>
      <c r="J123" s="201"/>
      <c r="K123" s="201"/>
      <c r="L123" s="75" t="str">
        <f>IFERROR(VLOOKUP(J123,'TABELA DE DEFEITOS'!$A$4:$B$1048576,2,0),"")</f>
        <v/>
      </c>
      <c r="M123" s="76" t="str">
        <f>IFERROR(VLOOKUP(J123,'TABELA DE DEFEITOS'!$A$4:$I$1048576,9,0),"")</f>
        <v/>
      </c>
      <c r="N123" s="73"/>
      <c r="O123" s="77"/>
      <c r="P123" s="77"/>
      <c r="Q123" s="78"/>
      <c r="R123" s="79"/>
    </row>
    <row r="124" spans="1:18">
      <c r="A124" s="69" t="str">
        <f t="shared" si="1"/>
        <v/>
      </c>
      <c r="B124" s="70"/>
      <c r="C124" s="80"/>
      <c r="D124" s="80"/>
      <c r="E124" s="72"/>
      <c r="F124" s="73"/>
      <c r="G124" s="73"/>
      <c r="H124" s="74"/>
      <c r="I124" s="74"/>
      <c r="J124" s="201"/>
      <c r="K124" s="201"/>
      <c r="L124" s="75" t="str">
        <f>IFERROR(VLOOKUP(J124,'TABELA DE DEFEITOS'!$A$4:$B$1048576,2,0),"")</f>
        <v/>
      </c>
      <c r="M124" s="76" t="str">
        <f>IFERROR(VLOOKUP(J124,'TABELA DE DEFEITOS'!$A$4:$I$1048576,9,0),"")</f>
        <v/>
      </c>
      <c r="N124" s="73"/>
      <c r="O124" s="77"/>
      <c r="P124" s="77"/>
      <c r="Q124" s="78"/>
      <c r="R124" s="79"/>
    </row>
    <row r="125" spans="1:18">
      <c r="A125" s="69" t="str">
        <f t="shared" si="1"/>
        <v/>
      </c>
      <c r="B125" s="70"/>
      <c r="C125" s="80"/>
      <c r="D125" s="80"/>
      <c r="E125" s="72"/>
      <c r="F125" s="73"/>
      <c r="G125" s="73"/>
      <c r="H125" s="74"/>
      <c r="I125" s="74"/>
      <c r="J125" s="201"/>
      <c r="K125" s="201"/>
      <c r="L125" s="75" t="str">
        <f>IFERROR(VLOOKUP(J125,'TABELA DE DEFEITOS'!$A$4:$B$1048576,2,0),"")</f>
        <v/>
      </c>
      <c r="M125" s="76" t="str">
        <f>IFERROR(VLOOKUP(J125,'TABELA DE DEFEITOS'!$A$4:$I$1048576,9,0),"")</f>
        <v/>
      </c>
      <c r="N125" s="73"/>
      <c r="O125" s="77"/>
      <c r="P125" s="77"/>
      <c r="Q125" s="78"/>
      <c r="R125" s="79"/>
    </row>
    <row r="126" spans="1:18">
      <c r="A126" s="69" t="str">
        <f t="shared" si="1"/>
        <v/>
      </c>
      <c r="B126" s="70"/>
      <c r="C126" s="80"/>
      <c r="D126" s="80"/>
      <c r="E126" s="72"/>
      <c r="F126" s="73"/>
      <c r="G126" s="73"/>
      <c r="H126" s="74"/>
      <c r="I126" s="74"/>
      <c r="J126" s="201"/>
      <c r="K126" s="201"/>
      <c r="L126" s="75" t="str">
        <f>IFERROR(VLOOKUP(J126,'TABELA DE DEFEITOS'!$A$4:$B$1048576,2,0),"")</f>
        <v/>
      </c>
      <c r="M126" s="76" t="str">
        <f>IFERROR(VLOOKUP(J126,'TABELA DE DEFEITOS'!$A$4:$I$1048576,9,0),"")</f>
        <v/>
      </c>
      <c r="N126" s="73"/>
      <c r="O126" s="77"/>
      <c r="P126" s="77"/>
      <c r="Q126" s="78"/>
      <c r="R126" s="79"/>
    </row>
    <row r="127" spans="1:18">
      <c r="A127" s="69" t="str">
        <f t="shared" si="1"/>
        <v/>
      </c>
      <c r="B127" s="70"/>
      <c r="C127" s="80"/>
      <c r="D127" s="80"/>
      <c r="E127" s="72"/>
      <c r="F127" s="73"/>
      <c r="G127" s="73"/>
      <c r="H127" s="74"/>
      <c r="I127" s="74"/>
      <c r="J127" s="201"/>
      <c r="K127" s="201"/>
      <c r="L127" s="75" t="str">
        <f>IFERROR(VLOOKUP(J127,'TABELA DE DEFEITOS'!$A$4:$B$1048576,2,0),"")</f>
        <v/>
      </c>
      <c r="M127" s="76" t="str">
        <f>IFERROR(VLOOKUP(J127,'TABELA DE DEFEITOS'!$A$4:$I$1048576,9,0),"")</f>
        <v/>
      </c>
      <c r="N127" s="73"/>
      <c r="O127" s="77"/>
      <c r="P127" s="77"/>
      <c r="Q127" s="78"/>
      <c r="R127" s="79"/>
    </row>
    <row r="128" spans="1:18">
      <c r="A128" s="69" t="str">
        <f t="shared" si="1"/>
        <v/>
      </c>
      <c r="B128" s="70"/>
      <c r="C128" s="80"/>
      <c r="D128" s="80"/>
      <c r="E128" s="72"/>
      <c r="F128" s="73"/>
      <c r="G128" s="73"/>
      <c r="H128" s="74"/>
      <c r="I128" s="74"/>
      <c r="J128" s="201"/>
      <c r="K128" s="201"/>
      <c r="L128" s="75" t="str">
        <f>IFERROR(VLOOKUP(J128,'TABELA DE DEFEITOS'!$A$4:$B$1048576,2,0),"")</f>
        <v/>
      </c>
      <c r="M128" s="76" t="str">
        <f>IFERROR(VLOOKUP(J128,'TABELA DE DEFEITOS'!$A$4:$I$1048576,9,0),"")</f>
        <v/>
      </c>
      <c r="N128" s="73"/>
      <c r="O128" s="77"/>
      <c r="P128" s="77"/>
      <c r="Q128" s="78"/>
      <c r="R128" s="79"/>
    </row>
    <row r="129" spans="1:18">
      <c r="A129" s="69" t="str">
        <f t="shared" si="1"/>
        <v/>
      </c>
      <c r="B129" s="70"/>
      <c r="C129" s="80"/>
      <c r="D129" s="80"/>
      <c r="E129" s="72"/>
      <c r="F129" s="73"/>
      <c r="G129" s="73"/>
      <c r="H129" s="74"/>
      <c r="I129" s="74"/>
      <c r="J129" s="201"/>
      <c r="K129" s="201"/>
      <c r="L129" s="75" t="str">
        <f>IFERROR(VLOOKUP(J129,'TABELA DE DEFEITOS'!$A$4:$B$1048576,2,0),"")</f>
        <v/>
      </c>
      <c r="M129" s="76" t="str">
        <f>IFERROR(VLOOKUP(J129,'TABELA DE DEFEITOS'!$A$4:$I$1048576,9,0),"")</f>
        <v/>
      </c>
      <c r="N129" s="73"/>
      <c r="O129" s="77"/>
      <c r="P129" s="77"/>
      <c r="Q129" s="78"/>
      <c r="R129" s="79"/>
    </row>
    <row r="130" spans="1:18">
      <c r="A130" s="69" t="str">
        <f t="shared" si="1"/>
        <v/>
      </c>
      <c r="B130" s="70"/>
      <c r="C130" s="80"/>
      <c r="D130" s="80"/>
      <c r="E130" s="72"/>
      <c r="F130" s="73"/>
      <c r="G130" s="73"/>
      <c r="H130" s="74"/>
      <c r="I130" s="74"/>
      <c r="J130" s="201"/>
      <c r="K130" s="201"/>
      <c r="L130" s="75" t="str">
        <f>IFERROR(VLOOKUP(J130,'TABELA DE DEFEITOS'!$A$4:$B$1048576,2,0),"")</f>
        <v/>
      </c>
      <c r="M130" s="76" t="str">
        <f>IFERROR(VLOOKUP(J130,'TABELA DE DEFEITOS'!$A$4:$I$1048576,9,0),"")</f>
        <v/>
      </c>
      <c r="N130" s="73"/>
      <c r="O130" s="77"/>
      <c r="P130" s="77"/>
      <c r="Q130" s="78"/>
      <c r="R130" s="79"/>
    </row>
    <row r="131" spans="1:18">
      <c r="A131" s="69" t="str">
        <f t="shared" si="1"/>
        <v/>
      </c>
      <c r="B131" s="70"/>
      <c r="C131" s="80"/>
      <c r="D131" s="80"/>
      <c r="E131" s="72"/>
      <c r="F131" s="73"/>
      <c r="G131" s="73"/>
      <c r="H131" s="74"/>
      <c r="I131" s="74"/>
      <c r="J131" s="201"/>
      <c r="K131" s="201"/>
      <c r="L131" s="75" t="str">
        <f>IFERROR(VLOOKUP(J131,'TABELA DE DEFEITOS'!$A$4:$B$1048576,2,0),"")</f>
        <v/>
      </c>
      <c r="M131" s="76" t="str">
        <f>IFERROR(VLOOKUP(J131,'TABELA DE DEFEITOS'!$A$4:$I$1048576,9,0),"")</f>
        <v/>
      </c>
      <c r="N131" s="73"/>
      <c r="O131" s="77"/>
      <c r="P131" s="77"/>
      <c r="Q131" s="78"/>
      <c r="R131" s="79"/>
    </row>
    <row r="132" spans="1:18">
      <c r="A132" s="69" t="str">
        <f t="shared" si="1"/>
        <v/>
      </c>
      <c r="B132" s="70"/>
      <c r="C132" s="80"/>
      <c r="D132" s="80"/>
      <c r="E132" s="72"/>
      <c r="F132" s="73"/>
      <c r="G132" s="73"/>
      <c r="H132" s="74"/>
      <c r="I132" s="74"/>
      <c r="J132" s="201"/>
      <c r="K132" s="201"/>
      <c r="L132" s="75" t="str">
        <f>IFERROR(VLOOKUP(J132,'TABELA DE DEFEITOS'!$A$4:$B$1048576,2,0),"")</f>
        <v/>
      </c>
      <c r="M132" s="76" t="str">
        <f>IFERROR(VLOOKUP(J132,'TABELA DE DEFEITOS'!$A$4:$I$1048576,9,0),"")</f>
        <v/>
      </c>
      <c r="N132" s="73"/>
      <c r="O132" s="77"/>
      <c r="P132" s="77"/>
      <c r="Q132" s="78"/>
      <c r="R132" s="79"/>
    </row>
    <row r="133" spans="1:18">
      <c r="A133" s="69" t="str">
        <f t="shared" si="1"/>
        <v/>
      </c>
      <c r="B133" s="70"/>
      <c r="C133" s="80"/>
      <c r="D133" s="80"/>
      <c r="E133" s="72"/>
      <c r="F133" s="73"/>
      <c r="G133" s="73"/>
      <c r="H133" s="74"/>
      <c r="I133" s="74"/>
      <c r="J133" s="201"/>
      <c r="K133" s="201"/>
      <c r="L133" s="75" t="str">
        <f>IFERROR(VLOOKUP(J133,'TABELA DE DEFEITOS'!$A$4:$B$1048576,2,0),"")</f>
        <v/>
      </c>
      <c r="M133" s="76" t="str">
        <f>IFERROR(VLOOKUP(J133,'TABELA DE DEFEITOS'!$A$4:$I$1048576,9,0),"")</f>
        <v/>
      </c>
      <c r="N133" s="73"/>
      <c r="O133" s="77"/>
      <c r="P133" s="77"/>
      <c r="Q133" s="78"/>
      <c r="R133" s="79"/>
    </row>
    <row r="134" spans="1:18">
      <c r="A134" s="69" t="str">
        <f t="shared" si="1"/>
        <v/>
      </c>
      <c r="B134" s="70"/>
      <c r="C134" s="80"/>
      <c r="D134" s="80"/>
      <c r="E134" s="72"/>
      <c r="F134" s="73"/>
      <c r="G134" s="73"/>
      <c r="H134" s="74"/>
      <c r="I134" s="74"/>
      <c r="J134" s="201"/>
      <c r="K134" s="201"/>
      <c r="L134" s="75" t="str">
        <f>IFERROR(VLOOKUP(J134,'TABELA DE DEFEITOS'!$A$4:$B$1048576,2,0),"")</f>
        <v/>
      </c>
      <c r="M134" s="76" t="str">
        <f>IFERROR(VLOOKUP(J134,'TABELA DE DEFEITOS'!$A$4:$I$1048576,9,0),"")</f>
        <v/>
      </c>
      <c r="N134" s="73"/>
      <c r="O134" s="77"/>
      <c r="P134" s="77"/>
      <c r="Q134" s="78"/>
      <c r="R134" s="79"/>
    </row>
    <row r="135" spans="1:18">
      <c r="A135" s="69" t="str">
        <f t="shared" si="1"/>
        <v/>
      </c>
      <c r="B135" s="70"/>
      <c r="C135" s="80"/>
      <c r="D135" s="80"/>
      <c r="E135" s="72"/>
      <c r="F135" s="73"/>
      <c r="G135" s="73"/>
      <c r="H135" s="74"/>
      <c r="I135" s="74"/>
      <c r="J135" s="201"/>
      <c r="K135" s="201"/>
      <c r="L135" s="75" t="str">
        <f>IFERROR(VLOOKUP(J135,'TABELA DE DEFEITOS'!$A$4:$B$1048576,2,0),"")</f>
        <v/>
      </c>
      <c r="M135" s="76" t="str">
        <f>IFERROR(VLOOKUP(J135,'TABELA DE DEFEITOS'!$A$4:$I$1048576,9,0),"")</f>
        <v/>
      </c>
      <c r="N135" s="73"/>
      <c r="O135" s="77"/>
      <c r="P135" s="77"/>
      <c r="Q135" s="78"/>
      <c r="R135" s="79"/>
    </row>
    <row r="136" spans="1:18">
      <c r="A136" s="69" t="str">
        <f t="shared" si="1"/>
        <v/>
      </c>
      <c r="B136" s="70"/>
      <c r="C136" s="80"/>
      <c r="D136" s="80"/>
      <c r="E136" s="72"/>
      <c r="F136" s="73"/>
      <c r="G136" s="73"/>
      <c r="H136" s="74"/>
      <c r="I136" s="74"/>
      <c r="J136" s="201"/>
      <c r="K136" s="201"/>
      <c r="L136" s="75" t="str">
        <f>IFERROR(VLOOKUP(J136,'TABELA DE DEFEITOS'!$A$4:$B$1048576,2,0),"")</f>
        <v/>
      </c>
      <c r="M136" s="76" t="str">
        <f>IFERROR(VLOOKUP(J136,'TABELA DE DEFEITOS'!$A$4:$I$1048576,9,0),"")</f>
        <v/>
      </c>
      <c r="N136" s="73"/>
      <c r="O136" s="77"/>
      <c r="P136" s="77"/>
      <c r="Q136" s="78"/>
      <c r="R136" s="79"/>
    </row>
    <row r="137" spans="1:18">
      <c r="A137" s="69" t="str">
        <f t="shared" si="1"/>
        <v/>
      </c>
      <c r="B137" s="70"/>
      <c r="C137" s="80"/>
      <c r="D137" s="80"/>
      <c r="E137" s="72"/>
      <c r="F137" s="73"/>
      <c r="G137" s="73"/>
      <c r="H137" s="74"/>
      <c r="I137" s="74"/>
      <c r="J137" s="201"/>
      <c r="K137" s="201"/>
      <c r="L137" s="75" t="str">
        <f>IFERROR(VLOOKUP(J137,'TABELA DE DEFEITOS'!$A$4:$B$1048576,2,0),"")</f>
        <v/>
      </c>
      <c r="M137" s="76" t="str">
        <f>IFERROR(VLOOKUP(J137,'TABELA DE DEFEITOS'!$A$4:$I$1048576,9,0),"")</f>
        <v/>
      </c>
      <c r="N137" s="73"/>
      <c r="O137" s="77"/>
      <c r="P137" s="77"/>
      <c r="Q137" s="78"/>
      <c r="R137" s="79"/>
    </row>
    <row r="138" spans="1:18">
      <c r="A138" s="69" t="str">
        <f t="shared" si="1"/>
        <v/>
      </c>
      <c r="B138" s="70"/>
      <c r="C138" s="80"/>
      <c r="D138" s="80"/>
      <c r="E138" s="72"/>
      <c r="F138" s="73"/>
      <c r="G138" s="73"/>
      <c r="H138" s="74"/>
      <c r="I138" s="74"/>
      <c r="J138" s="201"/>
      <c r="K138" s="201"/>
      <c r="L138" s="75" t="str">
        <f>IFERROR(VLOOKUP(J138,'TABELA DE DEFEITOS'!$A$4:$B$1048576,2,0),"")</f>
        <v/>
      </c>
      <c r="M138" s="76" t="str">
        <f>IFERROR(VLOOKUP(J138,'TABELA DE DEFEITOS'!$A$4:$I$1048576,9,0),"")</f>
        <v/>
      </c>
      <c r="N138" s="73"/>
      <c r="O138" s="77"/>
      <c r="P138" s="77"/>
      <c r="Q138" s="78"/>
      <c r="R138" s="79"/>
    </row>
    <row r="139" spans="1:18">
      <c r="A139" s="69" t="str">
        <f t="shared" ref="A139:A197" si="2">IF(H139="","",A138+1)</f>
        <v/>
      </c>
      <c r="B139" s="70"/>
      <c r="C139" s="80"/>
      <c r="D139" s="80"/>
      <c r="E139" s="72"/>
      <c r="F139" s="73"/>
      <c r="G139" s="73"/>
      <c r="H139" s="74"/>
      <c r="I139" s="74"/>
      <c r="J139" s="201"/>
      <c r="K139" s="201"/>
      <c r="L139" s="75" t="str">
        <f>IFERROR(VLOOKUP(J139,'TABELA DE DEFEITOS'!$A$4:$B$1048576,2,0),"")</f>
        <v/>
      </c>
      <c r="M139" s="76" t="str">
        <f>IFERROR(VLOOKUP(J139,'TABELA DE DEFEITOS'!$A$4:$I$1048576,9,0),"")</f>
        <v/>
      </c>
      <c r="N139" s="73"/>
      <c r="O139" s="77"/>
      <c r="P139" s="77"/>
      <c r="Q139" s="78"/>
      <c r="R139" s="79"/>
    </row>
    <row r="140" spans="1:18">
      <c r="A140" s="69" t="str">
        <f t="shared" si="2"/>
        <v/>
      </c>
      <c r="B140" s="70"/>
      <c r="C140" s="80"/>
      <c r="D140" s="80"/>
      <c r="E140" s="72"/>
      <c r="F140" s="73"/>
      <c r="G140" s="73"/>
      <c r="H140" s="74"/>
      <c r="I140" s="74"/>
      <c r="J140" s="201"/>
      <c r="K140" s="201"/>
      <c r="L140" s="75" t="str">
        <f>IFERROR(VLOOKUP(J140,'TABELA DE DEFEITOS'!$A$4:$B$1048576,2,0),"")</f>
        <v/>
      </c>
      <c r="M140" s="76" t="str">
        <f>IFERROR(VLOOKUP(J140,'TABELA DE DEFEITOS'!$A$4:$I$1048576,9,0),"")</f>
        <v/>
      </c>
      <c r="N140" s="73"/>
      <c r="O140" s="77"/>
      <c r="P140" s="77"/>
      <c r="Q140" s="78"/>
      <c r="R140" s="79"/>
    </row>
    <row r="141" spans="1:18">
      <c r="A141" s="69" t="str">
        <f t="shared" si="2"/>
        <v/>
      </c>
      <c r="B141" s="70"/>
      <c r="C141" s="80"/>
      <c r="D141" s="80"/>
      <c r="E141" s="72"/>
      <c r="F141" s="73"/>
      <c r="G141" s="73"/>
      <c r="H141" s="74"/>
      <c r="I141" s="74"/>
      <c r="J141" s="201"/>
      <c r="K141" s="201"/>
      <c r="L141" s="75" t="str">
        <f>IFERROR(VLOOKUP(J141,'TABELA DE DEFEITOS'!$A$4:$B$1048576,2,0),"")</f>
        <v/>
      </c>
      <c r="M141" s="76" t="str">
        <f>IFERROR(VLOOKUP(J141,'TABELA DE DEFEITOS'!$A$4:$I$1048576,9,0),"")</f>
        <v/>
      </c>
      <c r="N141" s="73"/>
      <c r="O141" s="77"/>
      <c r="P141" s="77"/>
      <c r="Q141" s="78"/>
      <c r="R141" s="79"/>
    </row>
    <row r="142" spans="1:18">
      <c r="A142" s="69" t="str">
        <f t="shared" si="2"/>
        <v/>
      </c>
      <c r="B142" s="70"/>
      <c r="C142" s="80"/>
      <c r="D142" s="80"/>
      <c r="E142" s="72"/>
      <c r="F142" s="73"/>
      <c r="G142" s="73"/>
      <c r="H142" s="74"/>
      <c r="I142" s="74"/>
      <c r="J142" s="201"/>
      <c r="K142" s="201"/>
      <c r="L142" s="75" t="str">
        <f>IFERROR(VLOOKUP(J142,'TABELA DE DEFEITOS'!$A$4:$B$1048576,2,0),"")</f>
        <v/>
      </c>
      <c r="M142" s="76" t="str">
        <f>IFERROR(VLOOKUP(J142,'TABELA DE DEFEITOS'!$A$4:$I$1048576,9,0),"")</f>
        <v/>
      </c>
      <c r="N142" s="73"/>
      <c r="O142" s="77"/>
      <c r="P142" s="77"/>
      <c r="Q142" s="78"/>
      <c r="R142" s="79"/>
    </row>
    <row r="143" spans="1:18">
      <c r="A143" s="69" t="str">
        <f t="shared" si="2"/>
        <v/>
      </c>
      <c r="B143" s="70"/>
      <c r="C143" s="80"/>
      <c r="D143" s="80"/>
      <c r="E143" s="72"/>
      <c r="F143" s="73"/>
      <c r="G143" s="73"/>
      <c r="H143" s="74"/>
      <c r="I143" s="74"/>
      <c r="J143" s="201"/>
      <c r="K143" s="201"/>
      <c r="L143" s="75" t="str">
        <f>IFERROR(VLOOKUP(J143,'TABELA DE DEFEITOS'!$A$4:$B$1048576,2,0),"")</f>
        <v/>
      </c>
      <c r="M143" s="76" t="str">
        <f>IFERROR(VLOOKUP(J143,'TABELA DE DEFEITOS'!$A$4:$I$1048576,9,0),"")</f>
        <v/>
      </c>
      <c r="N143" s="73"/>
      <c r="O143" s="77"/>
      <c r="P143" s="77"/>
      <c r="Q143" s="78"/>
      <c r="R143" s="79"/>
    </row>
    <row r="144" spans="1:18">
      <c r="A144" s="69" t="str">
        <f t="shared" si="2"/>
        <v/>
      </c>
      <c r="B144" s="70"/>
      <c r="C144" s="80"/>
      <c r="D144" s="80"/>
      <c r="E144" s="72"/>
      <c r="F144" s="73"/>
      <c r="G144" s="73"/>
      <c r="H144" s="74"/>
      <c r="I144" s="74"/>
      <c r="J144" s="201"/>
      <c r="K144" s="201"/>
      <c r="L144" s="75" t="str">
        <f>IFERROR(VLOOKUP(J144,'TABELA DE DEFEITOS'!$A$4:$B$1048576,2,0),"")</f>
        <v/>
      </c>
      <c r="M144" s="76" t="str">
        <f>IFERROR(VLOOKUP(J144,'TABELA DE DEFEITOS'!$A$4:$I$1048576,9,0),"")</f>
        <v/>
      </c>
      <c r="N144" s="73"/>
      <c r="O144" s="77"/>
      <c r="P144" s="77"/>
      <c r="Q144" s="78"/>
      <c r="R144" s="79"/>
    </row>
    <row r="145" spans="1:18">
      <c r="A145" s="69" t="str">
        <f t="shared" si="2"/>
        <v/>
      </c>
      <c r="B145" s="70"/>
      <c r="C145" s="80"/>
      <c r="D145" s="80"/>
      <c r="E145" s="72"/>
      <c r="F145" s="73"/>
      <c r="G145" s="73"/>
      <c r="H145" s="74"/>
      <c r="I145" s="74"/>
      <c r="J145" s="201"/>
      <c r="K145" s="201"/>
      <c r="L145" s="75" t="str">
        <f>IFERROR(VLOOKUP(J145,'TABELA DE DEFEITOS'!$A$4:$B$1048576,2,0),"")</f>
        <v/>
      </c>
      <c r="M145" s="76" t="str">
        <f>IFERROR(VLOOKUP(J145,'TABELA DE DEFEITOS'!$A$4:$I$1048576,9,0),"")</f>
        <v/>
      </c>
      <c r="N145" s="73"/>
      <c r="O145" s="77"/>
      <c r="P145" s="77"/>
      <c r="Q145" s="78"/>
      <c r="R145" s="79"/>
    </row>
    <row r="146" spans="1:18">
      <c r="A146" s="69" t="str">
        <f t="shared" si="2"/>
        <v/>
      </c>
      <c r="B146" s="70"/>
      <c r="C146" s="80"/>
      <c r="D146" s="80"/>
      <c r="E146" s="72"/>
      <c r="F146" s="73"/>
      <c r="G146" s="73"/>
      <c r="H146" s="74"/>
      <c r="I146" s="74"/>
      <c r="J146" s="201"/>
      <c r="K146" s="201"/>
      <c r="L146" s="75" t="str">
        <f>IFERROR(VLOOKUP(J146,'TABELA DE DEFEITOS'!$A$4:$B$1048576,2,0),"")</f>
        <v/>
      </c>
      <c r="M146" s="76" t="str">
        <f>IFERROR(VLOOKUP(J146,'TABELA DE DEFEITOS'!$A$4:$I$1048576,9,0),"")</f>
        <v/>
      </c>
      <c r="N146" s="73"/>
      <c r="O146" s="77"/>
      <c r="P146" s="77"/>
      <c r="Q146" s="78"/>
      <c r="R146" s="79"/>
    </row>
    <row r="147" spans="1:18">
      <c r="A147" s="69" t="str">
        <f t="shared" si="2"/>
        <v/>
      </c>
      <c r="B147" s="70"/>
      <c r="C147" s="80"/>
      <c r="D147" s="80"/>
      <c r="E147" s="72"/>
      <c r="F147" s="73"/>
      <c r="G147" s="73"/>
      <c r="H147" s="74"/>
      <c r="I147" s="74"/>
      <c r="J147" s="201"/>
      <c r="K147" s="201"/>
      <c r="L147" s="75" t="str">
        <f>IFERROR(VLOOKUP(J147,'TABELA DE DEFEITOS'!$A$4:$B$1048576,2,0),"")</f>
        <v/>
      </c>
      <c r="M147" s="76" t="str">
        <f>IFERROR(VLOOKUP(J147,'TABELA DE DEFEITOS'!$A$4:$I$1048576,9,0),"")</f>
        <v/>
      </c>
      <c r="N147" s="73"/>
      <c r="O147" s="77"/>
      <c r="P147" s="77"/>
      <c r="Q147" s="78"/>
      <c r="R147" s="79"/>
    </row>
    <row r="148" spans="1:18">
      <c r="A148" s="69" t="str">
        <f t="shared" si="2"/>
        <v/>
      </c>
      <c r="B148" s="70"/>
      <c r="C148" s="80"/>
      <c r="D148" s="80"/>
      <c r="E148" s="72"/>
      <c r="F148" s="73"/>
      <c r="G148" s="73"/>
      <c r="H148" s="74"/>
      <c r="I148" s="74"/>
      <c r="J148" s="201"/>
      <c r="K148" s="201"/>
      <c r="L148" s="75" t="str">
        <f>IFERROR(VLOOKUP(J148,'TABELA DE DEFEITOS'!$A$4:$B$1048576,2,0),"")</f>
        <v/>
      </c>
      <c r="M148" s="76" t="str">
        <f>IFERROR(VLOOKUP(J148,'TABELA DE DEFEITOS'!$A$4:$I$1048576,9,0),"")</f>
        <v/>
      </c>
      <c r="N148" s="73"/>
      <c r="O148" s="77"/>
      <c r="P148" s="77"/>
      <c r="Q148" s="78"/>
      <c r="R148" s="79"/>
    </row>
    <row r="149" spans="1:18">
      <c r="A149" s="69" t="str">
        <f t="shared" si="2"/>
        <v/>
      </c>
      <c r="B149" s="70"/>
      <c r="C149" s="80"/>
      <c r="D149" s="80"/>
      <c r="E149" s="72"/>
      <c r="F149" s="73"/>
      <c r="G149" s="73"/>
      <c r="H149" s="74"/>
      <c r="I149" s="74"/>
      <c r="J149" s="201"/>
      <c r="K149" s="201"/>
      <c r="L149" s="75" t="str">
        <f>IFERROR(VLOOKUP(J149,'TABELA DE DEFEITOS'!$A$4:$B$1048576,2,0),"")</f>
        <v/>
      </c>
      <c r="M149" s="76" t="str">
        <f>IFERROR(VLOOKUP(J149,'TABELA DE DEFEITOS'!$A$4:$I$1048576,9,0),"")</f>
        <v/>
      </c>
      <c r="N149" s="73"/>
      <c r="O149" s="77"/>
      <c r="P149" s="77"/>
      <c r="Q149" s="78"/>
      <c r="R149" s="79"/>
    </row>
    <row r="150" spans="1:18">
      <c r="A150" s="69" t="str">
        <f t="shared" si="2"/>
        <v/>
      </c>
      <c r="B150" s="70"/>
      <c r="C150" s="80"/>
      <c r="D150" s="80"/>
      <c r="E150" s="72"/>
      <c r="F150" s="73"/>
      <c r="G150" s="73"/>
      <c r="H150" s="74"/>
      <c r="I150" s="74"/>
      <c r="J150" s="201"/>
      <c r="K150" s="201"/>
      <c r="L150" s="75" t="str">
        <f>IFERROR(VLOOKUP(J150,'TABELA DE DEFEITOS'!$A$4:$B$1048576,2,0),"")</f>
        <v/>
      </c>
      <c r="M150" s="76" t="str">
        <f>IFERROR(VLOOKUP(J150,'TABELA DE DEFEITOS'!$A$4:$I$1048576,9,0),"")</f>
        <v/>
      </c>
      <c r="N150" s="73"/>
      <c r="O150" s="77"/>
      <c r="P150" s="77"/>
      <c r="Q150" s="78"/>
      <c r="R150" s="79"/>
    </row>
    <row r="151" spans="1:18">
      <c r="A151" s="69" t="str">
        <f t="shared" si="2"/>
        <v/>
      </c>
      <c r="B151" s="70"/>
      <c r="C151" s="80"/>
      <c r="D151" s="80"/>
      <c r="E151" s="72"/>
      <c r="F151" s="73"/>
      <c r="G151" s="73"/>
      <c r="H151" s="74"/>
      <c r="I151" s="74"/>
      <c r="J151" s="201"/>
      <c r="K151" s="201"/>
      <c r="L151" s="75" t="str">
        <f>IFERROR(VLOOKUP(J151,'TABELA DE DEFEITOS'!$A$4:$B$1048576,2,0),"")</f>
        <v/>
      </c>
      <c r="M151" s="76" t="str">
        <f>IFERROR(VLOOKUP(J151,'TABELA DE DEFEITOS'!$A$4:$I$1048576,9,0),"")</f>
        <v/>
      </c>
      <c r="N151" s="73"/>
      <c r="O151" s="77"/>
      <c r="P151" s="77"/>
      <c r="Q151" s="78"/>
      <c r="R151" s="79"/>
    </row>
    <row r="152" spans="1:18">
      <c r="A152" s="69" t="str">
        <f t="shared" si="2"/>
        <v/>
      </c>
      <c r="B152" s="70"/>
      <c r="C152" s="80"/>
      <c r="D152" s="80"/>
      <c r="E152" s="72"/>
      <c r="F152" s="73"/>
      <c r="G152" s="73"/>
      <c r="H152" s="74"/>
      <c r="I152" s="74"/>
      <c r="J152" s="201"/>
      <c r="K152" s="201"/>
      <c r="L152" s="75" t="str">
        <f>IFERROR(VLOOKUP(J152,'TABELA DE DEFEITOS'!$A$4:$B$1048576,2,0),"")</f>
        <v/>
      </c>
      <c r="M152" s="76" t="str">
        <f>IFERROR(VLOOKUP(J152,'TABELA DE DEFEITOS'!$A$4:$I$1048576,9,0),"")</f>
        <v/>
      </c>
      <c r="N152" s="73"/>
      <c r="O152" s="77"/>
      <c r="P152" s="77"/>
      <c r="Q152" s="78"/>
      <c r="R152" s="79"/>
    </row>
    <row r="153" spans="1:18">
      <c r="A153" s="69" t="str">
        <f t="shared" si="2"/>
        <v/>
      </c>
      <c r="B153" s="70"/>
      <c r="C153" s="80"/>
      <c r="D153" s="80"/>
      <c r="E153" s="72"/>
      <c r="F153" s="73"/>
      <c r="G153" s="73"/>
      <c r="H153" s="74"/>
      <c r="I153" s="74"/>
      <c r="J153" s="201"/>
      <c r="K153" s="201"/>
      <c r="L153" s="75" t="str">
        <f>IFERROR(VLOOKUP(J153,'TABELA DE DEFEITOS'!$A$4:$B$1048576,2,0),"")</f>
        <v/>
      </c>
      <c r="M153" s="76" t="str">
        <f>IFERROR(VLOOKUP(J153,'TABELA DE DEFEITOS'!$A$4:$I$1048576,9,0),"")</f>
        <v/>
      </c>
      <c r="N153" s="73"/>
      <c r="O153" s="77"/>
      <c r="P153" s="77"/>
      <c r="Q153" s="78"/>
      <c r="R153" s="79"/>
    </row>
    <row r="154" spans="1:18">
      <c r="A154" s="69" t="str">
        <f t="shared" si="2"/>
        <v/>
      </c>
      <c r="B154" s="70"/>
      <c r="C154" s="80"/>
      <c r="D154" s="80"/>
      <c r="E154" s="72"/>
      <c r="F154" s="73"/>
      <c r="G154" s="73"/>
      <c r="H154" s="74"/>
      <c r="I154" s="74"/>
      <c r="J154" s="201"/>
      <c r="K154" s="201"/>
      <c r="L154" s="75" t="str">
        <f>IFERROR(VLOOKUP(J154,'TABELA DE DEFEITOS'!$A$4:$B$1048576,2,0),"")</f>
        <v/>
      </c>
      <c r="M154" s="76" t="str">
        <f>IFERROR(VLOOKUP(J154,'TABELA DE DEFEITOS'!$A$4:$I$1048576,9,0),"")</f>
        <v/>
      </c>
      <c r="N154" s="73"/>
      <c r="O154" s="77"/>
      <c r="P154" s="77"/>
      <c r="Q154" s="78"/>
      <c r="R154" s="79"/>
    </row>
    <row r="155" spans="1:18">
      <c r="A155" s="69" t="str">
        <f t="shared" si="2"/>
        <v/>
      </c>
      <c r="B155" s="70"/>
      <c r="C155" s="80"/>
      <c r="D155" s="80"/>
      <c r="E155" s="72"/>
      <c r="F155" s="73"/>
      <c r="G155" s="73"/>
      <c r="H155" s="74"/>
      <c r="I155" s="74"/>
      <c r="J155" s="201"/>
      <c r="K155" s="201"/>
      <c r="L155" s="75" t="str">
        <f>IFERROR(VLOOKUP(J155,'TABELA DE DEFEITOS'!$A$4:$B$1048576,2,0),"")</f>
        <v/>
      </c>
      <c r="M155" s="76" t="str">
        <f>IFERROR(VLOOKUP(J155,'TABELA DE DEFEITOS'!$A$4:$I$1048576,9,0),"")</f>
        <v/>
      </c>
      <c r="N155" s="73"/>
      <c r="O155" s="77"/>
      <c r="P155" s="77"/>
      <c r="Q155" s="78"/>
      <c r="R155" s="79"/>
    </row>
    <row r="156" spans="1:18">
      <c r="A156" s="69" t="str">
        <f t="shared" si="2"/>
        <v/>
      </c>
      <c r="B156" s="70"/>
      <c r="C156" s="80"/>
      <c r="D156" s="80"/>
      <c r="E156" s="72"/>
      <c r="F156" s="73"/>
      <c r="G156" s="73"/>
      <c r="H156" s="74"/>
      <c r="I156" s="74"/>
      <c r="J156" s="201"/>
      <c r="K156" s="201"/>
      <c r="L156" s="75" t="str">
        <f>IFERROR(VLOOKUP(J156,'TABELA DE DEFEITOS'!$A$4:$B$1048576,2,0),"")</f>
        <v/>
      </c>
      <c r="M156" s="76" t="str">
        <f>IFERROR(VLOOKUP(J156,'TABELA DE DEFEITOS'!$A$4:$I$1048576,9,0),"")</f>
        <v/>
      </c>
      <c r="N156" s="73"/>
      <c r="O156" s="77"/>
      <c r="P156" s="77"/>
      <c r="Q156" s="78"/>
      <c r="R156" s="79"/>
    </row>
    <row r="157" spans="1:18">
      <c r="A157" s="69" t="str">
        <f t="shared" si="2"/>
        <v/>
      </c>
      <c r="B157" s="70"/>
      <c r="C157" s="80"/>
      <c r="D157" s="80"/>
      <c r="E157" s="72"/>
      <c r="F157" s="73"/>
      <c r="G157" s="73"/>
      <c r="H157" s="74"/>
      <c r="I157" s="74"/>
      <c r="J157" s="201"/>
      <c r="K157" s="201"/>
      <c r="L157" s="75" t="str">
        <f>IFERROR(VLOOKUP(J157,'TABELA DE DEFEITOS'!$A$4:$B$1048576,2,0),"")</f>
        <v/>
      </c>
      <c r="M157" s="76" t="str">
        <f>IFERROR(VLOOKUP(J157,'TABELA DE DEFEITOS'!$A$4:$I$1048576,9,0),"")</f>
        <v/>
      </c>
      <c r="N157" s="73"/>
      <c r="O157" s="77"/>
      <c r="P157" s="77"/>
      <c r="Q157" s="78"/>
      <c r="R157" s="79"/>
    </row>
    <row r="158" spans="1:18">
      <c r="A158" s="69" t="str">
        <f t="shared" si="2"/>
        <v/>
      </c>
      <c r="B158" s="70"/>
      <c r="C158" s="80"/>
      <c r="D158" s="80"/>
      <c r="E158" s="72"/>
      <c r="F158" s="73"/>
      <c r="G158" s="73"/>
      <c r="H158" s="74"/>
      <c r="I158" s="74"/>
      <c r="J158" s="201"/>
      <c r="K158" s="201"/>
      <c r="L158" s="75" t="str">
        <f>IFERROR(VLOOKUP(J158,'TABELA DE DEFEITOS'!$A$4:$B$1048576,2,0),"")</f>
        <v/>
      </c>
      <c r="M158" s="76" t="str">
        <f>IFERROR(VLOOKUP(J158,'TABELA DE DEFEITOS'!$A$4:$I$1048576,9,0),"")</f>
        <v/>
      </c>
      <c r="N158" s="73"/>
      <c r="O158" s="77"/>
      <c r="P158" s="77"/>
      <c r="Q158" s="78"/>
      <c r="R158" s="79"/>
    </row>
    <row r="159" spans="1:18">
      <c r="A159" s="69" t="str">
        <f t="shared" si="2"/>
        <v/>
      </c>
      <c r="B159" s="70"/>
      <c r="C159" s="80"/>
      <c r="D159" s="80"/>
      <c r="E159" s="72"/>
      <c r="F159" s="73"/>
      <c r="G159" s="73"/>
      <c r="H159" s="74"/>
      <c r="I159" s="74"/>
      <c r="J159" s="201"/>
      <c r="K159" s="201"/>
      <c r="L159" s="75" t="str">
        <f>IFERROR(VLOOKUP(J159,'TABELA DE DEFEITOS'!$A$4:$B$1048576,2,0),"")</f>
        <v/>
      </c>
      <c r="M159" s="76" t="str">
        <f>IFERROR(VLOOKUP(J159,'TABELA DE DEFEITOS'!$A$4:$I$1048576,9,0),"")</f>
        <v/>
      </c>
      <c r="N159" s="73"/>
      <c r="O159" s="77"/>
      <c r="P159" s="77"/>
      <c r="Q159" s="78"/>
      <c r="R159" s="79"/>
    </row>
    <row r="160" spans="1:18">
      <c r="A160" s="69" t="str">
        <f t="shared" si="2"/>
        <v/>
      </c>
      <c r="B160" s="70"/>
      <c r="C160" s="80"/>
      <c r="D160" s="80"/>
      <c r="E160" s="72"/>
      <c r="F160" s="73"/>
      <c r="G160" s="73"/>
      <c r="H160" s="74"/>
      <c r="I160" s="74"/>
      <c r="J160" s="201"/>
      <c r="K160" s="201"/>
      <c r="L160" s="75" t="str">
        <f>IFERROR(VLOOKUP(J160,'TABELA DE DEFEITOS'!$A$4:$B$1048576,2,0),"")</f>
        <v/>
      </c>
      <c r="M160" s="76" t="str">
        <f>IFERROR(VLOOKUP(J160,'TABELA DE DEFEITOS'!$A$4:$I$1048576,9,0),"")</f>
        <v/>
      </c>
      <c r="N160" s="73"/>
      <c r="O160" s="77"/>
      <c r="P160" s="77"/>
      <c r="Q160" s="78"/>
      <c r="R160" s="79"/>
    </row>
    <row r="161" spans="1:18">
      <c r="A161" s="69" t="str">
        <f t="shared" si="2"/>
        <v/>
      </c>
      <c r="B161" s="70"/>
      <c r="C161" s="80"/>
      <c r="D161" s="80"/>
      <c r="E161" s="72"/>
      <c r="F161" s="73"/>
      <c r="G161" s="73"/>
      <c r="H161" s="74"/>
      <c r="I161" s="74"/>
      <c r="J161" s="201"/>
      <c r="K161" s="201"/>
      <c r="L161" s="75" t="str">
        <f>IFERROR(VLOOKUP(J161,'TABELA DE DEFEITOS'!$A$4:$B$1048576,2,0),"")</f>
        <v/>
      </c>
      <c r="M161" s="76" t="str">
        <f>IFERROR(VLOOKUP(J161,'TABELA DE DEFEITOS'!$A$4:$I$1048576,9,0),"")</f>
        <v/>
      </c>
      <c r="N161" s="73"/>
      <c r="O161" s="77"/>
      <c r="P161" s="77"/>
      <c r="Q161" s="78"/>
      <c r="R161" s="79"/>
    </row>
    <row r="162" spans="1:18">
      <c r="A162" s="69" t="str">
        <f t="shared" si="2"/>
        <v/>
      </c>
      <c r="B162" s="70"/>
      <c r="C162" s="80"/>
      <c r="D162" s="80"/>
      <c r="E162" s="72"/>
      <c r="F162" s="73"/>
      <c r="G162" s="73"/>
      <c r="H162" s="74"/>
      <c r="I162" s="74"/>
      <c r="J162" s="201"/>
      <c r="K162" s="201"/>
      <c r="L162" s="75" t="str">
        <f>IFERROR(VLOOKUP(J162,'TABELA DE DEFEITOS'!$A$4:$B$1048576,2,0),"")</f>
        <v/>
      </c>
      <c r="M162" s="76" t="str">
        <f>IFERROR(VLOOKUP(J162,'TABELA DE DEFEITOS'!$A$4:$I$1048576,9,0),"")</f>
        <v/>
      </c>
      <c r="N162" s="73"/>
      <c r="O162" s="77"/>
      <c r="P162" s="77"/>
      <c r="Q162" s="78"/>
      <c r="R162" s="79"/>
    </row>
    <row r="163" spans="1:18">
      <c r="A163" s="69" t="str">
        <f t="shared" si="2"/>
        <v/>
      </c>
      <c r="B163" s="70"/>
      <c r="C163" s="80"/>
      <c r="D163" s="80"/>
      <c r="E163" s="72"/>
      <c r="F163" s="73"/>
      <c r="G163" s="73"/>
      <c r="H163" s="74"/>
      <c r="I163" s="74"/>
      <c r="J163" s="201"/>
      <c r="K163" s="201"/>
      <c r="L163" s="75" t="str">
        <f>IFERROR(VLOOKUP(J163,'TABELA DE DEFEITOS'!$A$4:$B$1048576,2,0),"")</f>
        <v/>
      </c>
      <c r="M163" s="76" t="str">
        <f>IFERROR(VLOOKUP(J163,'TABELA DE DEFEITOS'!$A$4:$I$1048576,9,0),"")</f>
        <v/>
      </c>
      <c r="N163" s="73"/>
      <c r="O163" s="77"/>
      <c r="P163" s="77"/>
      <c r="Q163" s="78"/>
      <c r="R163" s="79"/>
    </row>
    <row r="164" spans="1:18">
      <c r="A164" s="69" t="str">
        <f t="shared" si="2"/>
        <v/>
      </c>
      <c r="B164" s="70"/>
      <c r="C164" s="80"/>
      <c r="D164" s="80"/>
      <c r="E164" s="72"/>
      <c r="F164" s="73"/>
      <c r="G164" s="73"/>
      <c r="H164" s="74"/>
      <c r="I164" s="74"/>
      <c r="J164" s="201"/>
      <c r="K164" s="201"/>
      <c r="L164" s="75" t="str">
        <f>IFERROR(VLOOKUP(J164,'TABELA DE DEFEITOS'!$A$4:$B$1048576,2,0),"")</f>
        <v/>
      </c>
      <c r="M164" s="76" t="str">
        <f>IFERROR(VLOOKUP(J164,'TABELA DE DEFEITOS'!$A$4:$I$1048576,9,0),"")</f>
        <v/>
      </c>
      <c r="N164" s="73"/>
      <c r="O164" s="77"/>
      <c r="P164" s="77"/>
      <c r="Q164" s="78"/>
      <c r="R164" s="79"/>
    </row>
    <row r="165" spans="1:18">
      <c r="A165" s="69" t="str">
        <f t="shared" si="2"/>
        <v/>
      </c>
      <c r="B165" s="70"/>
      <c r="C165" s="80"/>
      <c r="D165" s="80"/>
      <c r="E165" s="72"/>
      <c r="F165" s="73"/>
      <c r="G165" s="73"/>
      <c r="H165" s="74"/>
      <c r="I165" s="74"/>
      <c r="J165" s="201"/>
      <c r="K165" s="201"/>
      <c r="L165" s="75" t="str">
        <f>IFERROR(VLOOKUP(J165,'TABELA DE DEFEITOS'!$A$4:$B$1048576,2,0),"")</f>
        <v/>
      </c>
      <c r="M165" s="76" t="str">
        <f>IFERROR(VLOOKUP(J165,'TABELA DE DEFEITOS'!$A$4:$I$1048576,9,0),"")</f>
        <v/>
      </c>
      <c r="N165" s="73"/>
      <c r="O165" s="77"/>
      <c r="P165" s="77"/>
      <c r="Q165" s="78"/>
      <c r="R165" s="79"/>
    </row>
    <row r="166" spans="1:18">
      <c r="A166" s="69" t="str">
        <f t="shared" si="2"/>
        <v/>
      </c>
      <c r="B166" s="70"/>
      <c r="C166" s="80"/>
      <c r="D166" s="80"/>
      <c r="E166" s="72"/>
      <c r="F166" s="73"/>
      <c r="G166" s="73"/>
      <c r="H166" s="74"/>
      <c r="I166" s="74"/>
      <c r="J166" s="201"/>
      <c r="K166" s="201"/>
      <c r="L166" s="75" t="str">
        <f>IFERROR(VLOOKUP(J166,'TABELA DE DEFEITOS'!$A$4:$B$1048576,2,0),"")</f>
        <v/>
      </c>
      <c r="M166" s="76" t="str">
        <f>IFERROR(VLOOKUP(J166,'TABELA DE DEFEITOS'!$A$4:$I$1048576,9,0),"")</f>
        <v/>
      </c>
      <c r="N166" s="73"/>
      <c r="O166" s="77"/>
      <c r="P166" s="77"/>
      <c r="Q166" s="78"/>
      <c r="R166" s="79"/>
    </row>
    <row r="167" spans="1:18">
      <c r="A167" s="69" t="str">
        <f t="shared" si="2"/>
        <v/>
      </c>
      <c r="B167" s="70"/>
      <c r="C167" s="80"/>
      <c r="D167" s="80"/>
      <c r="E167" s="72"/>
      <c r="F167" s="73"/>
      <c r="G167" s="73"/>
      <c r="H167" s="74"/>
      <c r="I167" s="74"/>
      <c r="J167" s="201"/>
      <c r="K167" s="201"/>
      <c r="L167" s="75" t="str">
        <f>IFERROR(VLOOKUP(J167,'TABELA DE DEFEITOS'!$A$4:$B$1048576,2,0),"")</f>
        <v/>
      </c>
      <c r="M167" s="76" t="str">
        <f>IFERROR(VLOOKUP(J167,'TABELA DE DEFEITOS'!$A$4:$I$1048576,9,0),"")</f>
        <v/>
      </c>
      <c r="N167" s="73"/>
      <c r="O167" s="77"/>
      <c r="P167" s="77"/>
      <c r="Q167" s="78"/>
      <c r="R167" s="79"/>
    </row>
    <row r="168" spans="1:18">
      <c r="A168" s="69" t="str">
        <f t="shared" si="2"/>
        <v/>
      </c>
      <c r="B168" s="70"/>
      <c r="C168" s="80"/>
      <c r="D168" s="80"/>
      <c r="E168" s="72"/>
      <c r="F168" s="73"/>
      <c r="G168" s="73"/>
      <c r="H168" s="74"/>
      <c r="I168" s="74"/>
      <c r="J168" s="201"/>
      <c r="K168" s="201"/>
      <c r="L168" s="75" t="str">
        <f>IFERROR(VLOOKUP(J168,'TABELA DE DEFEITOS'!$A$4:$B$1048576,2,0),"")</f>
        <v/>
      </c>
      <c r="M168" s="76" t="str">
        <f>IFERROR(VLOOKUP(J168,'TABELA DE DEFEITOS'!$A$4:$I$1048576,9,0),"")</f>
        <v/>
      </c>
      <c r="N168" s="73"/>
      <c r="O168" s="77"/>
      <c r="P168" s="77"/>
      <c r="Q168" s="78"/>
      <c r="R168" s="79"/>
    </row>
    <row r="169" spans="1:18">
      <c r="A169" s="69" t="str">
        <f t="shared" si="2"/>
        <v/>
      </c>
      <c r="B169" s="70"/>
      <c r="C169" s="80"/>
      <c r="D169" s="80"/>
      <c r="E169" s="72"/>
      <c r="F169" s="73"/>
      <c r="G169" s="73"/>
      <c r="H169" s="74"/>
      <c r="I169" s="74"/>
      <c r="J169" s="201"/>
      <c r="K169" s="201"/>
      <c r="L169" s="75" t="str">
        <f>IFERROR(VLOOKUP(J169,'TABELA DE DEFEITOS'!$A$4:$B$1048576,2,0),"")</f>
        <v/>
      </c>
      <c r="M169" s="76" t="str">
        <f>IFERROR(VLOOKUP(J169,'TABELA DE DEFEITOS'!$A$4:$I$1048576,9,0),"")</f>
        <v/>
      </c>
      <c r="N169" s="73"/>
      <c r="O169" s="77"/>
      <c r="P169" s="77"/>
      <c r="Q169" s="78"/>
      <c r="R169" s="79"/>
    </row>
    <row r="170" spans="1:18">
      <c r="A170" s="69" t="str">
        <f t="shared" si="2"/>
        <v/>
      </c>
      <c r="B170" s="70"/>
      <c r="C170" s="80"/>
      <c r="D170" s="80"/>
      <c r="E170" s="72"/>
      <c r="F170" s="73"/>
      <c r="G170" s="73"/>
      <c r="H170" s="74"/>
      <c r="I170" s="74"/>
      <c r="J170" s="201"/>
      <c r="K170" s="201"/>
      <c r="L170" s="75" t="str">
        <f>IFERROR(VLOOKUP(J170,'TABELA DE DEFEITOS'!$A$4:$B$1048576,2,0),"")</f>
        <v/>
      </c>
      <c r="M170" s="76" t="str">
        <f>IFERROR(VLOOKUP(J170,'TABELA DE DEFEITOS'!$A$4:$I$1048576,9,0),"")</f>
        <v/>
      </c>
      <c r="N170" s="73"/>
      <c r="O170" s="77"/>
      <c r="P170" s="77"/>
      <c r="Q170" s="78"/>
      <c r="R170" s="79"/>
    </row>
    <row r="171" spans="1:18">
      <c r="A171" s="69" t="str">
        <f t="shared" si="2"/>
        <v/>
      </c>
      <c r="B171" s="70"/>
      <c r="C171" s="80"/>
      <c r="D171" s="80"/>
      <c r="E171" s="72"/>
      <c r="F171" s="73"/>
      <c r="G171" s="73"/>
      <c r="H171" s="74"/>
      <c r="I171" s="74"/>
      <c r="J171" s="201"/>
      <c r="K171" s="201"/>
      <c r="L171" s="75" t="str">
        <f>IFERROR(VLOOKUP(J171,'TABELA DE DEFEITOS'!$A$4:$B$1048576,2,0),"")</f>
        <v/>
      </c>
      <c r="M171" s="76" t="str">
        <f>IFERROR(VLOOKUP(J171,'TABELA DE DEFEITOS'!$A$4:$I$1048576,9,0),"")</f>
        <v/>
      </c>
      <c r="N171" s="73"/>
      <c r="O171" s="77"/>
      <c r="P171" s="77"/>
      <c r="Q171" s="78"/>
      <c r="R171" s="79"/>
    </row>
    <row r="172" spans="1:18">
      <c r="A172" s="69" t="str">
        <f t="shared" si="2"/>
        <v/>
      </c>
      <c r="B172" s="70"/>
      <c r="C172" s="80"/>
      <c r="D172" s="80"/>
      <c r="E172" s="72"/>
      <c r="F172" s="73"/>
      <c r="G172" s="73"/>
      <c r="H172" s="74"/>
      <c r="I172" s="74"/>
      <c r="J172" s="201"/>
      <c r="K172" s="201"/>
      <c r="L172" s="75" t="str">
        <f>IFERROR(VLOOKUP(J172,'TABELA DE DEFEITOS'!$A$4:$B$1048576,2,0),"")</f>
        <v/>
      </c>
      <c r="M172" s="76" t="str">
        <f>IFERROR(VLOOKUP(J172,'TABELA DE DEFEITOS'!$A$4:$I$1048576,9,0),"")</f>
        <v/>
      </c>
      <c r="N172" s="73"/>
      <c r="O172" s="77"/>
      <c r="P172" s="77"/>
      <c r="Q172" s="78"/>
      <c r="R172" s="79"/>
    </row>
    <row r="173" spans="1:18">
      <c r="A173" s="69" t="str">
        <f t="shared" si="2"/>
        <v/>
      </c>
      <c r="B173" s="70"/>
      <c r="C173" s="80"/>
      <c r="D173" s="80"/>
      <c r="E173" s="72"/>
      <c r="F173" s="73"/>
      <c r="G173" s="73"/>
      <c r="H173" s="74"/>
      <c r="I173" s="74"/>
      <c r="J173" s="201"/>
      <c r="K173" s="201"/>
      <c r="L173" s="75" t="str">
        <f>IFERROR(VLOOKUP(J173,'TABELA DE DEFEITOS'!$A$4:$B$1048576,2,0),"")</f>
        <v/>
      </c>
      <c r="M173" s="76" t="str">
        <f>IFERROR(VLOOKUP(J173,'TABELA DE DEFEITOS'!$A$4:$I$1048576,9,0),"")</f>
        <v/>
      </c>
      <c r="N173" s="73"/>
      <c r="O173" s="77"/>
      <c r="P173" s="77"/>
      <c r="Q173" s="78"/>
      <c r="R173" s="79"/>
    </row>
    <row r="174" spans="1:18">
      <c r="A174" s="69" t="str">
        <f t="shared" si="2"/>
        <v/>
      </c>
      <c r="B174" s="70"/>
      <c r="C174" s="80"/>
      <c r="D174" s="80"/>
      <c r="E174" s="72"/>
      <c r="F174" s="73"/>
      <c r="G174" s="73"/>
      <c r="H174" s="74"/>
      <c r="I174" s="74"/>
      <c r="J174" s="201"/>
      <c r="K174" s="201"/>
      <c r="L174" s="75" t="str">
        <f>IFERROR(VLOOKUP(J174,'TABELA DE DEFEITOS'!$A$4:$B$1048576,2,0),"")</f>
        <v/>
      </c>
      <c r="M174" s="76" t="str">
        <f>IFERROR(VLOOKUP(J174,'TABELA DE DEFEITOS'!$A$4:$I$1048576,9,0),"")</f>
        <v/>
      </c>
      <c r="N174" s="73"/>
      <c r="O174" s="77"/>
      <c r="P174" s="77"/>
      <c r="Q174" s="78"/>
      <c r="R174" s="79"/>
    </row>
    <row r="175" spans="1:18">
      <c r="A175" s="69" t="str">
        <f t="shared" si="2"/>
        <v/>
      </c>
      <c r="B175" s="70"/>
      <c r="C175" s="80"/>
      <c r="D175" s="80"/>
      <c r="E175" s="72"/>
      <c r="F175" s="73"/>
      <c r="G175" s="73"/>
      <c r="H175" s="74"/>
      <c r="I175" s="74"/>
      <c r="J175" s="201"/>
      <c r="K175" s="201"/>
      <c r="L175" s="75" t="str">
        <f>IFERROR(VLOOKUP(J175,'TABELA DE DEFEITOS'!$A$4:$B$1048576,2,0),"")</f>
        <v/>
      </c>
      <c r="M175" s="76" t="str">
        <f>IFERROR(VLOOKUP(J175,'TABELA DE DEFEITOS'!$A$4:$I$1048576,9,0),"")</f>
        <v/>
      </c>
      <c r="N175" s="73"/>
      <c r="O175" s="77"/>
      <c r="P175" s="77"/>
      <c r="Q175" s="78"/>
      <c r="R175" s="79"/>
    </row>
    <row r="176" spans="1:18">
      <c r="A176" s="69" t="str">
        <f t="shared" si="2"/>
        <v/>
      </c>
      <c r="B176" s="70"/>
      <c r="C176" s="80"/>
      <c r="D176" s="80"/>
      <c r="E176" s="72"/>
      <c r="F176" s="73"/>
      <c r="G176" s="73"/>
      <c r="H176" s="74"/>
      <c r="I176" s="74"/>
      <c r="J176" s="201"/>
      <c r="K176" s="201"/>
      <c r="L176" s="75" t="str">
        <f>IFERROR(VLOOKUP(J176,'TABELA DE DEFEITOS'!$A$4:$B$1048576,2,0),"")</f>
        <v/>
      </c>
      <c r="M176" s="76" t="str">
        <f>IFERROR(VLOOKUP(J176,'TABELA DE DEFEITOS'!$A$4:$I$1048576,9,0),"")</f>
        <v/>
      </c>
      <c r="N176" s="73"/>
      <c r="O176" s="77"/>
      <c r="P176" s="77"/>
      <c r="Q176" s="78"/>
      <c r="R176" s="79"/>
    </row>
    <row r="177" spans="1:18">
      <c r="A177" s="69" t="str">
        <f t="shared" si="2"/>
        <v/>
      </c>
      <c r="B177" s="70"/>
      <c r="C177" s="80"/>
      <c r="D177" s="80"/>
      <c r="E177" s="72"/>
      <c r="F177" s="73"/>
      <c r="G177" s="73"/>
      <c r="H177" s="74"/>
      <c r="I177" s="74"/>
      <c r="J177" s="201"/>
      <c r="K177" s="201"/>
      <c r="L177" s="75" t="str">
        <f>IFERROR(VLOOKUP(J177,'TABELA DE DEFEITOS'!$A$4:$B$1048576,2,0),"")</f>
        <v/>
      </c>
      <c r="M177" s="76" t="str">
        <f>IFERROR(VLOOKUP(J177,'TABELA DE DEFEITOS'!$A$4:$I$1048576,9,0),"")</f>
        <v/>
      </c>
      <c r="N177" s="73"/>
      <c r="O177" s="77"/>
      <c r="P177" s="77"/>
      <c r="Q177" s="78"/>
      <c r="R177" s="79"/>
    </row>
    <row r="178" spans="1:18">
      <c r="A178" s="69" t="str">
        <f t="shared" si="2"/>
        <v/>
      </c>
      <c r="B178" s="70"/>
      <c r="C178" s="80"/>
      <c r="D178" s="80"/>
      <c r="E178" s="72"/>
      <c r="F178" s="73"/>
      <c r="G178" s="73"/>
      <c r="H178" s="74"/>
      <c r="I178" s="74"/>
      <c r="J178" s="201"/>
      <c r="K178" s="201"/>
      <c r="L178" s="75" t="str">
        <f>IFERROR(VLOOKUP(J178,'TABELA DE DEFEITOS'!$A$4:$B$1048576,2,0),"")</f>
        <v/>
      </c>
      <c r="M178" s="76" t="str">
        <f>IFERROR(VLOOKUP(J178,'TABELA DE DEFEITOS'!$A$4:$I$1048576,9,0),"")</f>
        <v/>
      </c>
      <c r="N178" s="73"/>
      <c r="O178" s="77"/>
      <c r="P178" s="77"/>
      <c r="Q178" s="78"/>
      <c r="R178" s="79"/>
    </row>
    <row r="179" spans="1:18">
      <c r="A179" s="69" t="str">
        <f t="shared" si="2"/>
        <v/>
      </c>
      <c r="B179" s="70"/>
      <c r="C179" s="80"/>
      <c r="D179" s="80"/>
      <c r="E179" s="72"/>
      <c r="F179" s="73"/>
      <c r="G179" s="73"/>
      <c r="H179" s="74"/>
      <c r="I179" s="74"/>
      <c r="J179" s="201"/>
      <c r="K179" s="201"/>
      <c r="L179" s="75" t="str">
        <f>IFERROR(VLOOKUP(J179,'TABELA DE DEFEITOS'!$A$4:$B$1048576,2,0),"")</f>
        <v/>
      </c>
      <c r="M179" s="76" t="str">
        <f>IFERROR(VLOOKUP(J179,'TABELA DE DEFEITOS'!$A$4:$I$1048576,9,0),"")</f>
        <v/>
      </c>
      <c r="N179" s="73"/>
      <c r="O179" s="77"/>
      <c r="P179" s="77"/>
      <c r="Q179" s="78"/>
      <c r="R179" s="79"/>
    </row>
    <row r="180" spans="1:18">
      <c r="A180" s="69" t="str">
        <f t="shared" si="2"/>
        <v/>
      </c>
      <c r="B180" s="70"/>
      <c r="C180" s="80"/>
      <c r="D180" s="80"/>
      <c r="E180" s="72"/>
      <c r="F180" s="73"/>
      <c r="G180" s="73"/>
      <c r="H180" s="74"/>
      <c r="I180" s="74"/>
      <c r="J180" s="201"/>
      <c r="K180" s="201"/>
      <c r="L180" s="75" t="str">
        <f>IFERROR(VLOOKUP(J180,'TABELA DE DEFEITOS'!$A$4:$B$1048576,2,0),"")</f>
        <v/>
      </c>
      <c r="M180" s="76" t="str">
        <f>IFERROR(VLOOKUP(J180,'TABELA DE DEFEITOS'!$A$4:$I$1048576,9,0),"")</f>
        <v/>
      </c>
      <c r="N180" s="73"/>
      <c r="O180" s="77"/>
      <c r="P180" s="77"/>
      <c r="Q180" s="78"/>
      <c r="R180" s="79"/>
    </row>
    <row r="181" spans="1:18">
      <c r="A181" s="69" t="str">
        <f t="shared" si="2"/>
        <v/>
      </c>
      <c r="B181" s="70"/>
      <c r="C181" s="80"/>
      <c r="D181" s="80"/>
      <c r="E181" s="72"/>
      <c r="F181" s="73"/>
      <c r="G181" s="73"/>
      <c r="H181" s="74"/>
      <c r="I181" s="74"/>
      <c r="J181" s="201"/>
      <c r="K181" s="201"/>
      <c r="L181" s="75" t="str">
        <f>IFERROR(VLOOKUP(J181,'TABELA DE DEFEITOS'!$A$4:$B$1048576,2,0),"")</f>
        <v/>
      </c>
      <c r="M181" s="76" t="str">
        <f>IFERROR(VLOOKUP(J181,'TABELA DE DEFEITOS'!$A$4:$I$1048576,9,0),"")</f>
        <v/>
      </c>
      <c r="N181" s="73"/>
      <c r="O181" s="77"/>
      <c r="P181" s="77"/>
      <c r="Q181" s="78"/>
      <c r="R181" s="79"/>
    </row>
    <row r="182" spans="1:18">
      <c r="A182" s="69" t="str">
        <f t="shared" si="2"/>
        <v/>
      </c>
      <c r="B182" s="70"/>
      <c r="C182" s="80"/>
      <c r="D182" s="80"/>
      <c r="E182" s="72"/>
      <c r="F182" s="73"/>
      <c r="G182" s="73"/>
      <c r="H182" s="74"/>
      <c r="I182" s="74"/>
      <c r="J182" s="201"/>
      <c r="K182" s="201"/>
      <c r="L182" s="75" t="str">
        <f>IFERROR(VLOOKUP(J182,'TABELA DE DEFEITOS'!$A$4:$B$1048576,2,0),"")</f>
        <v/>
      </c>
      <c r="M182" s="76" t="str">
        <f>IFERROR(VLOOKUP(J182,'TABELA DE DEFEITOS'!$A$4:$I$1048576,9,0),"")</f>
        <v/>
      </c>
      <c r="N182" s="73"/>
      <c r="O182" s="77"/>
      <c r="P182" s="77"/>
      <c r="Q182" s="78"/>
      <c r="R182" s="79"/>
    </row>
    <row r="183" spans="1:18">
      <c r="A183" s="69" t="str">
        <f t="shared" si="2"/>
        <v/>
      </c>
      <c r="B183" s="70"/>
      <c r="C183" s="80"/>
      <c r="D183" s="80"/>
      <c r="E183" s="72"/>
      <c r="F183" s="73"/>
      <c r="G183" s="73"/>
      <c r="H183" s="74"/>
      <c r="I183" s="74"/>
      <c r="J183" s="201"/>
      <c r="K183" s="201"/>
      <c r="L183" s="75" t="str">
        <f>IFERROR(VLOOKUP(J183,'TABELA DE DEFEITOS'!$A$4:$B$1048576,2,0),"")</f>
        <v/>
      </c>
      <c r="M183" s="76" t="str">
        <f>IFERROR(VLOOKUP(J183,'TABELA DE DEFEITOS'!$A$4:$I$1048576,9,0),"")</f>
        <v/>
      </c>
      <c r="N183" s="73"/>
      <c r="O183" s="77"/>
      <c r="P183" s="77"/>
      <c r="Q183" s="78"/>
      <c r="R183" s="79"/>
    </row>
    <row r="184" spans="1:18">
      <c r="A184" s="69" t="str">
        <f t="shared" si="2"/>
        <v/>
      </c>
      <c r="B184" s="70"/>
      <c r="C184" s="80"/>
      <c r="D184" s="80"/>
      <c r="E184" s="72"/>
      <c r="F184" s="73"/>
      <c r="G184" s="73"/>
      <c r="H184" s="74"/>
      <c r="I184" s="74"/>
      <c r="J184" s="201"/>
      <c r="K184" s="201"/>
      <c r="L184" s="75" t="str">
        <f>IFERROR(VLOOKUP(J184,'TABELA DE DEFEITOS'!$A$4:$B$1048576,2,0),"")</f>
        <v/>
      </c>
      <c r="M184" s="76" t="str">
        <f>IFERROR(VLOOKUP(J184,'TABELA DE DEFEITOS'!$A$4:$I$1048576,9,0),"")</f>
        <v/>
      </c>
      <c r="N184" s="73"/>
      <c r="O184" s="77"/>
      <c r="P184" s="77"/>
      <c r="Q184" s="78"/>
      <c r="R184" s="79"/>
    </row>
    <row r="185" spans="1:18">
      <c r="A185" s="69" t="str">
        <f t="shared" si="2"/>
        <v/>
      </c>
      <c r="B185" s="70"/>
      <c r="C185" s="80"/>
      <c r="D185" s="80"/>
      <c r="E185" s="72"/>
      <c r="F185" s="73"/>
      <c r="G185" s="73"/>
      <c r="H185" s="74"/>
      <c r="I185" s="74"/>
      <c r="J185" s="201"/>
      <c r="K185" s="201"/>
      <c r="L185" s="75" t="str">
        <f>IFERROR(VLOOKUP(J185,'TABELA DE DEFEITOS'!$A$4:$B$1048576,2,0),"")</f>
        <v/>
      </c>
      <c r="M185" s="76" t="str">
        <f>IFERROR(VLOOKUP(J185,'TABELA DE DEFEITOS'!$A$4:$I$1048576,9,0),"")</f>
        <v/>
      </c>
      <c r="N185" s="73"/>
      <c r="O185" s="77"/>
      <c r="P185" s="77"/>
      <c r="Q185" s="78"/>
      <c r="R185" s="79"/>
    </row>
    <row r="186" spans="1:18">
      <c r="A186" s="69" t="str">
        <f t="shared" si="2"/>
        <v/>
      </c>
      <c r="B186" s="70"/>
      <c r="C186" s="80"/>
      <c r="D186" s="80"/>
      <c r="E186" s="72"/>
      <c r="F186" s="73"/>
      <c r="G186" s="73"/>
      <c r="H186" s="74"/>
      <c r="I186" s="74"/>
      <c r="J186" s="201"/>
      <c r="K186" s="201"/>
      <c r="L186" s="75" t="str">
        <f>IFERROR(VLOOKUP(J186,'TABELA DE DEFEITOS'!$A$4:$B$1048576,2,0),"")</f>
        <v/>
      </c>
      <c r="M186" s="76" t="str">
        <f>IFERROR(VLOOKUP(J186,'TABELA DE DEFEITOS'!$A$4:$I$1048576,9,0),"")</f>
        <v/>
      </c>
      <c r="N186" s="73"/>
      <c r="O186" s="77"/>
      <c r="P186" s="77"/>
      <c r="Q186" s="78"/>
      <c r="R186" s="79"/>
    </row>
    <row r="187" spans="1:18">
      <c r="A187" s="69" t="str">
        <f t="shared" si="2"/>
        <v/>
      </c>
      <c r="B187" s="70"/>
      <c r="C187" s="80"/>
      <c r="D187" s="80"/>
      <c r="E187" s="72"/>
      <c r="F187" s="73"/>
      <c r="G187" s="73"/>
      <c r="H187" s="74"/>
      <c r="I187" s="74"/>
      <c r="J187" s="201"/>
      <c r="K187" s="201"/>
      <c r="L187" s="75" t="str">
        <f>IFERROR(VLOOKUP(J187,'TABELA DE DEFEITOS'!$A$4:$B$1048576,2,0),"")</f>
        <v/>
      </c>
      <c r="M187" s="76" t="str">
        <f>IFERROR(VLOOKUP(J187,'TABELA DE DEFEITOS'!$A$4:$I$1048576,9,0),"")</f>
        <v/>
      </c>
      <c r="N187" s="73"/>
      <c r="O187" s="77"/>
      <c r="P187" s="77"/>
      <c r="Q187" s="78"/>
      <c r="R187" s="79"/>
    </row>
    <row r="188" spans="1:18">
      <c r="A188" s="69" t="str">
        <f t="shared" si="2"/>
        <v/>
      </c>
      <c r="B188" s="70"/>
      <c r="C188" s="80"/>
      <c r="D188" s="80"/>
      <c r="E188" s="72"/>
      <c r="F188" s="73"/>
      <c r="G188" s="73"/>
      <c r="H188" s="74"/>
      <c r="I188" s="74"/>
      <c r="J188" s="201"/>
      <c r="K188" s="201"/>
      <c r="L188" s="75" t="str">
        <f>IFERROR(VLOOKUP(J188,'TABELA DE DEFEITOS'!$A$4:$B$1048576,2,0),"")</f>
        <v/>
      </c>
      <c r="M188" s="76" t="str">
        <f>IFERROR(VLOOKUP(J188,'TABELA DE DEFEITOS'!$A$4:$I$1048576,9,0),"")</f>
        <v/>
      </c>
      <c r="N188" s="73"/>
      <c r="O188" s="77"/>
      <c r="P188" s="77"/>
      <c r="Q188" s="78"/>
      <c r="R188" s="79"/>
    </row>
    <row r="189" spans="1:18">
      <c r="A189" s="69" t="str">
        <f t="shared" si="2"/>
        <v/>
      </c>
      <c r="B189" s="70"/>
      <c r="C189" s="80"/>
      <c r="D189" s="80"/>
      <c r="E189" s="72"/>
      <c r="F189" s="73"/>
      <c r="G189" s="73"/>
      <c r="H189" s="74"/>
      <c r="I189" s="74"/>
      <c r="J189" s="201"/>
      <c r="K189" s="201"/>
      <c r="L189" s="75" t="str">
        <f>IFERROR(VLOOKUP(J189,'TABELA DE DEFEITOS'!$A$4:$B$1048576,2,0),"")</f>
        <v/>
      </c>
      <c r="M189" s="76" t="str">
        <f>IFERROR(VLOOKUP(J189,'TABELA DE DEFEITOS'!$A$4:$I$1048576,9,0),"")</f>
        <v/>
      </c>
      <c r="N189" s="73"/>
      <c r="O189" s="77"/>
      <c r="P189" s="77"/>
      <c r="Q189" s="78"/>
      <c r="R189" s="79"/>
    </row>
    <row r="190" spans="1:18">
      <c r="A190" s="69" t="str">
        <f t="shared" si="2"/>
        <v/>
      </c>
      <c r="B190" s="70"/>
      <c r="C190" s="80"/>
      <c r="D190" s="80"/>
      <c r="E190" s="72"/>
      <c r="F190" s="73"/>
      <c r="G190" s="73"/>
      <c r="H190" s="74"/>
      <c r="I190" s="74"/>
      <c r="J190" s="201"/>
      <c r="K190" s="201"/>
      <c r="L190" s="75" t="str">
        <f>IFERROR(VLOOKUP(J190,'TABELA DE DEFEITOS'!$A$4:$B$1048576,2,0),"")</f>
        <v/>
      </c>
      <c r="M190" s="76" t="str">
        <f>IFERROR(VLOOKUP(J190,'TABELA DE DEFEITOS'!$A$4:$I$1048576,9,0),"")</f>
        <v/>
      </c>
      <c r="N190" s="73"/>
      <c r="O190" s="77"/>
      <c r="P190" s="77"/>
      <c r="Q190" s="78"/>
      <c r="R190" s="79"/>
    </row>
    <row r="191" spans="1:18">
      <c r="A191" s="69" t="str">
        <f t="shared" si="2"/>
        <v/>
      </c>
      <c r="B191" s="70"/>
      <c r="C191" s="80"/>
      <c r="D191" s="80"/>
      <c r="E191" s="72"/>
      <c r="F191" s="73"/>
      <c r="G191" s="73"/>
      <c r="H191" s="74"/>
      <c r="I191" s="74"/>
      <c r="J191" s="201"/>
      <c r="K191" s="201"/>
      <c r="L191" s="75" t="str">
        <f>IFERROR(VLOOKUP(J191,'TABELA DE DEFEITOS'!$A$4:$B$1048576,2,0),"")</f>
        <v/>
      </c>
      <c r="M191" s="76" t="str">
        <f>IFERROR(VLOOKUP(J191,'TABELA DE DEFEITOS'!$A$4:$I$1048576,9,0),"")</f>
        <v/>
      </c>
      <c r="N191" s="73"/>
      <c r="O191" s="77"/>
      <c r="P191" s="77"/>
      <c r="Q191" s="78"/>
      <c r="R191" s="79"/>
    </row>
    <row r="192" spans="1:18">
      <c r="A192" s="69" t="str">
        <f t="shared" si="2"/>
        <v/>
      </c>
      <c r="B192" s="70"/>
      <c r="C192" s="80"/>
      <c r="D192" s="80"/>
      <c r="E192" s="72"/>
      <c r="F192" s="73"/>
      <c r="G192" s="73"/>
      <c r="H192" s="74"/>
      <c r="I192" s="74"/>
      <c r="J192" s="201"/>
      <c r="K192" s="201"/>
      <c r="L192" s="75" t="str">
        <f>IFERROR(VLOOKUP(J192,'TABELA DE DEFEITOS'!$A$4:$B$1048576,2,0),"")</f>
        <v/>
      </c>
      <c r="M192" s="76" t="str">
        <f>IFERROR(VLOOKUP(J192,'TABELA DE DEFEITOS'!$A$4:$I$1048576,9,0),"")</f>
        <v/>
      </c>
      <c r="N192" s="73"/>
      <c r="O192" s="77"/>
      <c r="P192" s="77"/>
      <c r="Q192" s="78"/>
      <c r="R192" s="79"/>
    </row>
    <row r="193" spans="1:18">
      <c r="A193" s="69" t="str">
        <f t="shared" si="2"/>
        <v/>
      </c>
      <c r="B193" s="70"/>
      <c r="C193" s="80"/>
      <c r="D193" s="80"/>
      <c r="E193" s="72"/>
      <c r="F193" s="73"/>
      <c r="G193" s="73"/>
      <c r="H193" s="74"/>
      <c r="I193" s="74"/>
      <c r="J193" s="201"/>
      <c r="K193" s="201"/>
      <c r="L193" s="75" t="str">
        <f>IFERROR(VLOOKUP(J193,'TABELA DE DEFEITOS'!$A$4:$B$1048576,2,0),"")</f>
        <v/>
      </c>
      <c r="M193" s="76" t="str">
        <f>IFERROR(VLOOKUP(J193,'TABELA DE DEFEITOS'!$A$4:$I$1048576,9,0),"")</f>
        <v/>
      </c>
      <c r="N193" s="73"/>
      <c r="O193" s="77"/>
      <c r="P193" s="77"/>
      <c r="Q193" s="78"/>
      <c r="R193" s="79"/>
    </row>
    <row r="194" spans="1:18">
      <c r="A194" s="69" t="str">
        <f t="shared" si="2"/>
        <v/>
      </c>
      <c r="B194" s="70"/>
      <c r="C194" s="80"/>
      <c r="D194" s="80"/>
      <c r="E194" s="72"/>
      <c r="F194" s="73"/>
      <c r="G194" s="73"/>
      <c r="H194" s="74"/>
      <c r="I194" s="74"/>
      <c r="J194" s="201"/>
      <c r="K194" s="201"/>
      <c r="L194" s="75" t="str">
        <f>IFERROR(VLOOKUP(J194,'TABELA DE DEFEITOS'!$A$4:$B$1048576,2,0),"")</f>
        <v/>
      </c>
      <c r="M194" s="76" t="str">
        <f>IFERROR(VLOOKUP(J194,'TABELA DE DEFEITOS'!$A$4:$I$1048576,9,0),"")</f>
        <v/>
      </c>
      <c r="N194" s="73"/>
      <c r="O194" s="77"/>
      <c r="P194" s="77"/>
      <c r="Q194" s="78"/>
      <c r="R194" s="79"/>
    </row>
    <row r="195" spans="1:18">
      <c r="A195" s="69" t="str">
        <f t="shared" si="2"/>
        <v/>
      </c>
      <c r="B195" s="70"/>
      <c r="C195" s="80"/>
      <c r="D195" s="80"/>
      <c r="E195" s="72"/>
      <c r="F195" s="73"/>
      <c r="G195" s="73"/>
      <c r="H195" s="74"/>
      <c r="I195" s="74"/>
      <c r="J195" s="201"/>
      <c r="K195" s="201"/>
      <c r="L195" s="75" t="str">
        <f>IFERROR(VLOOKUP(J195,'TABELA DE DEFEITOS'!$A$4:$B$1048576,2,0),"")</f>
        <v/>
      </c>
      <c r="M195" s="76" t="str">
        <f>IFERROR(VLOOKUP(J195,'TABELA DE DEFEITOS'!$A$4:$I$1048576,9,0),"")</f>
        <v/>
      </c>
      <c r="N195" s="73"/>
      <c r="O195" s="77"/>
      <c r="P195" s="77"/>
      <c r="Q195" s="78"/>
      <c r="R195" s="79"/>
    </row>
    <row r="196" spans="1:18">
      <c r="A196" s="69" t="str">
        <f t="shared" si="2"/>
        <v/>
      </c>
      <c r="B196" s="70"/>
      <c r="C196" s="80"/>
      <c r="D196" s="80"/>
      <c r="E196" s="72"/>
      <c r="F196" s="73"/>
      <c r="G196" s="73"/>
      <c r="H196" s="74"/>
      <c r="I196" s="74"/>
      <c r="J196" s="201"/>
      <c r="K196" s="201"/>
      <c r="L196" s="75" t="str">
        <f>IFERROR(VLOOKUP(J196,'TABELA DE DEFEITOS'!$A$4:$B$1048576,2,0),"")</f>
        <v/>
      </c>
      <c r="M196" s="76" t="str">
        <f>IFERROR(VLOOKUP(J196,'TABELA DE DEFEITOS'!$A$4:$I$1048576,9,0),"")</f>
        <v/>
      </c>
      <c r="N196" s="73"/>
      <c r="O196" s="77"/>
      <c r="P196" s="77"/>
      <c r="Q196" s="78"/>
      <c r="R196" s="79"/>
    </row>
    <row r="197" spans="1:18" ht="12.75" thickBot="1">
      <c r="A197" s="81" t="str">
        <f t="shared" si="2"/>
        <v/>
      </c>
      <c r="B197" s="82"/>
      <c r="C197" s="83"/>
      <c r="D197" s="83"/>
      <c r="E197" s="84"/>
      <c r="F197" s="85"/>
      <c r="G197" s="85"/>
      <c r="H197" s="86"/>
      <c r="I197" s="86"/>
      <c r="J197" s="200"/>
      <c r="K197" s="200"/>
      <c r="L197" s="87" t="str">
        <f>IFERROR(VLOOKUP(J197,'TABELA DE DEFEITOS'!$A$4:$B$1048576,2,0),"")</f>
        <v/>
      </c>
      <c r="M197" s="88" t="str">
        <f>IFERROR(VLOOKUP(J197,'TABELA DE DEFEITOS'!$A$4:$I$1048576,9,0),"")</f>
        <v/>
      </c>
      <c r="N197" s="85"/>
      <c r="O197" s="89"/>
      <c r="P197" s="89"/>
      <c r="Q197" s="90"/>
      <c r="R197" s="91"/>
    </row>
  </sheetData>
  <dataConsolidate/>
  <mergeCells count="224"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A1:E3"/>
    <mergeCell ref="F1:J3"/>
    <mergeCell ref="K1:L2"/>
    <mergeCell ref="M1:N2"/>
    <mergeCell ref="K3:L3"/>
    <mergeCell ref="M3:N3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</mergeCells>
  <conditionalFormatting sqref="A5 C5 M5:R5 E5:I5">
    <cfRule type="notContainsBlanks" dxfId="18" priority="57">
      <formula>LEN(TRIM(A5))&gt;0</formula>
    </cfRule>
    <cfRule type="containsBlanks" dxfId="17" priority="61">
      <formula>LEN(TRIM(A5))=0</formula>
    </cfRule>
  </conditionalFormatting>
  <conditionalFormatting sqref="O3">
    <cfRule type="notContainsBlanks" dxfId="16" priority="21">
      <formula>LEN(TRIM(O3))&gt;0</formula>
    </cfRule>
    <cfRule type="containsBlanks" dxfId="15" priority="60">
      <formula>LEN(TRIM(O3))=0</formula>
    </cfRule>
  </conditionalFormatting>
  <conditionalFormatting sqref="K5">
    <cfRule type="notContainsBlanks" dxfId="14" priority="13">
      <formula>LEN(TRIM(K5))&gt;0</formula>
    </cfRule>
    <cfRule type="containsBlanks" dxfId="13" priority="62">
      <formula>LEN(TRIM(K5))=0</formula>
    </cfRule>
  </conditionalFormatting>
  <conditionalFormatting sqref="K3">
    <cfRule type="notContainsBlanks" dxfId="12" priority="9">
      <formula>LEN(TRIM(K3))&gt;0</formula>
    </cfRule>
    <cfRule type="containsBlanks" dxfId="11" priority="10">
      <formula>LEN(TRIM(K3))=0</formula>
    </cfRule>
  </conditionalFormatting>
  <conditionalFormatting sqref="M3">
    <cfRule type="notContainsBlanks" dxfId="10" priority="7">
      <formula>LEN(TRIM(M3))&gt;0</formula>
    </cfRule>
    <cfRule type="containsBlanks" dxfId="9" priority="8">
      <formula>LEN(TRIM(M3))=0</formula>
    </cfRule>
  </conditionalFormatting>
  <conditionalFormatting sqref="Q3">
    <cfRule type="notContainsBlanks" dxfId="8" priority="5">
      <formula>LEN(TRIM(Q3))&gt;0</formula>
    </cfRule>
    <cfRule type="containsBlanks" dxfId="7" priority="6">
      <formula>LEN(TRIM(Q3))=0</formula>
    </cfRule>
  </conditionalFormatting>
  <conditionalFormatting sqref="R3">
    <cfRule type="notContainsBlanks" dxfId="6" priority="3">
      <formula>LEN(TRIM(R3))&gt;0</formula>
    </cfRule>
    <cfRule type="containsBlanks" dxfId="5" priority="4">
      <formula>LEN(TRIM(R3))=0</formula>
    </cfRule>
  </conditionalFormatting>
  <conditionalFormatting sqref="J5">
    <cfRule type="notContainsBlanks" dxfId="4" priority="1">
      <formula>LEN(TRIM(J5))&gt;0</formula>
    </cfRule>
    <cfRule type="containsBlanks" dxfId="3" priority="2">
      <formula>LEN(TRIM(J5))=0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197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N9:N197</xm:sqref>
        </x14:dataValidation>
        <x14:dataValidation type="list" allowBlank="1" showInputMessage="1" showErrorMessage="1">
          <x14:formula1>
            <xm:f>'INFORMÇAÕES '!$W$6:$W$9</xm:f>
          </x14:formula1>
          <xm:sqref>F9:F197</xm:sqref>
        </x14:dataValidation>
        <x14:dataValidation type="list" allowBlank="1" showInputMessage="1" showErrorMessage="1">
          <x14:formula1>
            <xm:f>'INFORMÇAÕES '!$Z$6:$Z$7</xm:f>
          </x14:formula1>
          <xm:sqref>P9:P197</xm:sqref>
        </x14:dataValidation>
        <x14:dataValidation type="list" allowBlank="1" showInputMessage="1" showErrorMessage="1">
          <x14:formula1>
            <xm:f>'INFORMÇAÕES '!$Y$6:$Y$12</xm:f>
          </x14:formula1>
          <xm:sqref>O9:O197</xm:sqref>
        </x14:dataValidation>
        <x14:dataValidation type="list" allowBlank="1" showInputMessage="1" showErrorMessage="1">
          <x14:formula1>
            <xm:f>'INFORMÇAÕES '!$AA$6:$AA$12</xm:f>
          </x14:formula1>
          <xm:sqref>Q9:Q197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G9:G197</xm:sqref>
        </x14:dataValidation>
        <x14:dataValidation type="list" allowBlank="1" showInputMessage="1" showErrorMessage="1">
          <x14:formula1>
            <xm:f>'INFORMÇAÕES '!$AC$6:$AC$16</xm:f>
          </x14:formula1>
          <xm:sqref>H9:H197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190"/>
  <sheetViews>
    <sheetView showGridLines="0" zoomScale="80" zoomScaleNormal="80" workbookViewId="0"/>
  </sheetViews>
  <sheetFormatPr defaultColWidth="10.6640625" defaultRowHeight="14.25"/>
  <cols>
    <col min="1" max="1" width="10.83203125" style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49" bestFit="1" customWidth="1"/>
    <col min="9" max="9" width="6.6640625" style="149" bestFit="1" customWidth="1"/>
    <col min="10" max="10" width="8.5" style="149" bestFit="1" customWidth="1"/>
    <col min="11" max="11" width="7.6640625" style="149" bestFit="1" customWidth="1"/>
    <col min="12" max="12" width="16.83203125" style="149" bestFit="1" customWidth="1"/>
    <col min="13" max="13" width="10.6640625" style="149"/>
    <col min="14" max="16384" width="10.6640625" style="1"/>
  </cols>
  <sheetData>
    <row r="1" spans="1:13" ht="24.75" customHeight="1">
      <c r="A1" s="121" t="s">
        <v>12</v>
      </c>
      <c r="B1" s="121" t="s">
        <v>30</v>
      </c>
      <c r="C1" s="121" t="s">
        <v>444</v>
      </c>
      <c r="D1" s="121" t="s">
        <v>448</v>
      </c>
      <c r="E1" s="121" t="s">
        <v>445</v>
      </c>
      <c r="F1" s="121" t="s">
        <v>5</v>
      </c>
      <c r="G1" s="121" t="s">
        <v>447</v>
      </c>
      <c r="H1" s="149" t="s">
        <v>1411</v>
      </c>
      <c r="I1" s="149" t="s">
        <v>1</v>
      </c>
      <c r="J1" s="149" t="s">
        <v>1434</v>
      </c>
      <c r="K1" s="149" t="s">
        <v>378</v>
      </c>
      <c r="L1" s="149" t="s">
        <v>1435</v>
      </c>
      <c r="M1" s="149" t="s">
        <v>1440</v>
      </c>
    </row>
    <row r="2" spans="1:13" s="132" customFormat="1" ht="14.45" customHeight="1">
      <c r="A2" s="21">
        <f>IF(B2="","",'FORM. DE INSPEÇÃO'!$I$5)</f>
        <v>2268247</v>
      </c>
      <c r="B2" s="21" t="str">
        <f t="shared" ref="B2:B33" si="0">IF(E2="","","LT")</f>
        <v>LT</v>
      </c>
      <c r="C2" s="21" t="str">
        <f t="shared" ref="C2:C33" si="1">IF(E2="","",LEFT(E2,2))</f>
        <v>ES</v>
      </c>
      <c r="D2" s="21" t="str">
        <f t="shared" ref="D2:D33" si="2">B2&amp;C2</f>
        <v>LTES</v>
      </c>
      <c r="E2" s="21" t="str">
        <f>'FORM. DE INSPEÇÃO'!L14</f>
        <v>ES27</v>
      </c>
      <c r="F2" s="21" t="str">
        <f>'FORM. DE INSPEÇÃO'!M14</f>
        <v>A</v>
      </c>
      <c r="G2" s="22" t="str">
        <f>IF(F2="","",'FORM. DE INSPEÇÃO'!G14&amp;"-"&amp;'FORM. DE INSPEÇÃO'!E14)</f>
        <v>ELH-1/1</v>
      </c>
      <c r="H2" s="149">
        <f>IF(B2="","",'FORM. DE INSPEÇÃO'!R14)</f>
        <v>0</v>
      </c>
      <c r="I2" s="149">
        <f>IF(B2="","",'FORM. DE INSPEÇÃO'!A14)</f>
        <v>6</v>
      </c>
      <c r="J2" s="149" t="str">
        <f>IF(B2="","",'FORM. DE INSPEÇÃO'!J14:K14)</f>
        <v>POSTE TRINCADO</v>
      </c>
      <c r="K2" s="149">
        <f>IF(B2="","",'FORM. DE INSPEÇÃO'!N14)</f>
        <v>0</v>
      </c>
      <c r="L2" s="149" t="str">
        <f>IF(B2="","",'FORM. DE INSPEÇÃO'!P14)</f>
        <v>FONTE</v>
      </c>
      <c r="M2" s="150" t="str">
        <f>IFERROR(VLOOKUP(E2,'TABELA DE DEFEITOS'!$B$4:$F$204,5,0),"")</f>
        <v>SUBSTITUIR POSTE</v>
      </c>
    </row>
    <row r="3" spans="1:13" s="132" customFormat="1" ht="14.45" customHeight="1">
      <c r="A3" s="21">
        <f>IF(B3="","",'FORM. DE INSPEÇÃO'!$I$5)</f>
        <v>2268247</v>
      </c>
      <c r="B3" s="21" t="str">
        <f t="shared" si="0"/>
        <v>LT</v>
      </c>
      <c r="C3" s="21" t="str">
        <f t="shared" si="1"/>
        <v>AF</v>
      </c>
      <c r="D3" s="21" t="str">
        <f t="shared" si="2"/>
        <v>LTAF</v>
      </c>
      <c r="E3" s="21" t="str">
        <f>'FORM. DE INSPEÇÃO'!L15</f>
        <v>AF01</v>
      </c>
      <c r="F3" s="21" t="str">
        <f>'FORM. DE INSPEÇÃO'!M15</f>
        <v>P2</v>
      </c>
      <c r="G3" s="22" t="str">
        <f>IF(F3="","",'FORM. DE INSPEÇÃO'!G15&amp;"-"&amp;'FORM. DE INSPEÇÃO'!E15)</f>
        <v>YAR-9/4</v>
      </c>
      <c r="H3" s="149">
        <f>IF(B3="","",'FORM. DE INSPEÇÃO'!R15)</f>
        <v>0</v>
      </c>
      <c r="I3" s="149">
        <f>IF(B3="","",'FORM. DE INSPEÇÃO'!A15)</f>
        <v>7</v>
      </c>
      <c r="J3" s="149" t="str">
        <f>IF(B3="","",'FORM. DE INSPEÇÃO'!J15:K15)</f>
        <v>ÁRV. DENTRO DA FAIXA-DIST. CONDUT. &gt; 1,5M</v>
      </c>
      <c r="K3" s="149" t="str">
        <f>IF(B3="","",'FORM. DE INSPEÇÃO'!N15)</f>
        <v>C</v>
      </c>
      <c r="L3" s="149" t="str">
        <f>IF(B3="","",'FORM. DE INSPEÇÃO'!P15)</f>
        <v>CARGA</v>
      </c>
      <c r="M3" s="150" t="str">
        <f>IFERROR(VLOOKUP(E3,'TABELA DE DEFEITOS'!$B$4:$F$204,5,0),"")</f>
        <v>PODAR ÁRVORE</v>
      </c>
    </row>
    <row r="4" spans="1:13" ht="28.5">
      <c r="A4" s="21">
        <f>IF(B4="","",'FORM. DE INSPEÇÃO'!$I$5)</f>
        <v>2268247</v>
      </c>
      <c r="B4" s="21" t="str">
        <f t="shared" si="0"/>
        <v>LT</v>
      </c>
      <c r="C4" s="21" t="str">
        <f t="shared" si="1"/>
        <v>AF</v>
      </c>
      <c r="D4" s="21" t="str">
        <f t="shared" si="2"/>
        <v>LTAF</v>
      </c>
      <c r="E4" s="21" t="str">
        <f>'FORM. DE INSPEÇÃO'!L16</f>
        <v>AF01</v>
      </c>
      <c r="F4" s="21" t="str">
        <f>'FORM. DE INSPEÇÃO'!M16</f>
        <v>P2</v>
      </c>
      <c r="G4" s="22" t="str">
        <f>IF(F4="","",'FORM. DE INSPEÇÃO'!G16&amp;"-"&amp;'FORM. DE INSPEÇÃO'!E16)</f>
        <v>YAR-14/1</v>
      </c>
      <c r="H4" s="149">
        <f>IF(B4="","",'FORM. DE INSPEÇÃO'!R16)</f>
        <v>0</v>
      </c>
      <c r="I4" s="149">
        <f>IF(B4="","",'FORM. DE INSPEÇÃO'!A16)</f>
        <v>8</v>
      </c>
      <c r="J4" s="149" t="str">
        <f>IF(B4="","",'FORM. DE INSPEÇÃO'!J16:K16)</f>
        <v>ÁRV. DENTRO DA FAIXA-DIST. CONDUT. &gt; 1,5M</v>
      </c>
      <c r="K4" s="149" t="str">
        <f>IF(B4="","",'FORM. DE INSPEÇÃO'!N16)</f>
        <v>C</v>
      </c>
      <c r="L4" s="149" t="str">
        <f>IF(B4="","",'FORM. DE INSPEÇÃO'!P16)</f>
        <v>CARGA</v>
      </c>
      <c r="M4" s="150" t="str">
        <f>IFERROR(VLOOKUP(E4,'TABELA DE DEFEITOS'!$B$4:$F$204,5,0),"")</f>
        <v>PODAR ÁRVORE</v>
      </c>
    </row>
    <row r="5" spans="1:13">
      <c r="A5" s="130" t="str">
        <f>IF(B5="","",'FORM. DE INSPEÇÃO'!$I$5)</f>
        <v/>
      </c>
      <c r="B5" s="130" t="str">
        <f t="shared" si="0"/>
        <v/>
      </c>
      <c r="C5" s="130" t="str">
        <f t="shared" si="1"/>
        <v/>
      </c>
      <c r="D5" s="130" t="str">
        <f t="shared" si="2"/>
        <v/>
      </c>
      <c r="E5" s="130" t="str">
        <f>'FORM. DE INSPEÇÃO'!L9</f>
        <v/>
      </c>
      <c r="F5" s="130" t="str">
        <f>'FORM. DE INSPEÇÃO'!M9</f>
        <v/>
      </c>
      <c r="G5" s="131" t="str">
        <f>IF(F5="","",'FORM. DE INSPEÇÃO'!G9&amp;"-"&amp;'FORM. DE INSPEÇÃO'!E9)</f>
        <v/>
      </c>
      <c r="H5" s="150" t="str">
        <f>IF(B5="","",'FORM. DE INSPEÇÃO'!R9)</f>
        <v/>
      </c>
      <c r="I5" s="150" t="str">
        <f>IF(B5="","",'FORM. DE INSPEÇÃO'!A9)</f>
        <v/>
      </c>
      <c r="J5" s="150" t="str">
        <f>IF(B5="","",'FORM. DE INSPEÇÃO'!J9:K9)</f>
        <v/>
      </c>
      <c r="K5" s="150" t="str">
        <f>IF(B5="","",'FORM. DE INSPEÇÃO'!N9)</f>
        <v/>
      </c>
      <c r="L5" s="150" t="str">
        <f>IF(B5="","",'FORM. DE INSPEÇÃO'!P9)</f>
        <v/>
      </c>
      <c r="M5" s="150" t="str">
        <f>IFERROR(VLOOKUP(E5,'TABELA DE DEFEITOS'!$B$4:$F$204,5,0),"")</f>
        <v/>
      </c>
    </row>
    <row r="6" spans="1:13">
      <c r="A6" s="130" t="str">
        <f>IF(B6="","",'FORM. DE INSPEÇÃO'!$I$5)</f>
        <v/>
      </c>
      <c r="B6" s="130" t="str">
        <f t="shared" si="0"/>
        <v/>
      </c>
      <c r="C6" s="130" t="str">
        <f t="shared" si="1"/>
        <v/>
      </c>
      <c r="D6" s="130" t="str">
        <f t="shared" si="2"/>
        <v/>
      </c>
      <c r="E6" s="130" t="str">
        <f>'FORM. DE INSPEÇÃO'!L10</f>
        <v/>
      </c>
      <c r="F6" s="130" t="str">
        <f>'FORM. DE INSPEÇÃO'!M10</f>
        <v/>
      </c>
      <c r="G6" s="131" t="str">
        <f>IF(F6="","",'FORM. DE INSPEÇÃO'!G10&amp;"-"&amp;'FORM. DE INSPEÇÃO'!E10)</f>
        <v/>
      </c>
      <c r="H6" s="150" t="str">
        <f>IF(B6="","",'FORM. DE INSPEÇÃO'!R10)</f>
        <v/>
      </c>
      <c r="I6" s="150" t="str">
        <f>IF(B6="","",'FORM. DE INSPEÇÃO'!A10)</f>
        <v/>
      </c>
      <c r="J6" s="150" t="str">
        <f>IF(B6="","",'FORM. DE INSPEÇÃO'!J10:K10)</f>
        <v/>
      </c>
      <c r="K6" s="150" t="str">
        <f>IF(B6="","",'FORM. DE INSPEÇÃO'!N10)</f>
        <v/>
      </c>
      <c r="L6" s="150" t="str">
        <f>IF(B6="","",'FORM. DE INSPEÇÃO'!P10)</f>
        <v/>
      </c>
      <c r="M6" s="150" t="str">
        <f>IFERROR(VLOOKUP(E6,'TABELA DE DEFEITOS'!$B$4:$F$204,5,0),"")</f>
        <v/>
      </c>
    </row>
    <row r="7" spans="1:13">
      <c r="A7" s="21" t="str">
        <f>IF(B7="","",'FORM. DE INSPEÇÃO'!$I$5)</f>
        <v/>
      </c>
      <c r="B7" s="21" t="str">
        <f t="shared" si="0"/>
        <v/>
      </c>
      <c r="C7" s="21" t="str">
        <f t="shared" si="1"/>
        <v/>
      </c>
      <c r="D7" s="21" t="str">
        <f t="shared" si="2"/>
        <v/>
      </c>
      <c r="E7" s="21" t="str">
        <f>'FORM. DE INSPEÇÃO'!L11</f>
        <v/>
      </c>
      <c r="F7" s="21" t="str">
        <f>'FORM. DE INSPEÇÃO'!M11</f>
        <v/>
      </c>
      <c r="G7" s="22" t="str">
        <f>IF(F7="","",'FORM. DE INSPEÇÃO'!G11&amp;"-"&amp;'FORM. DE INSPEÇÃO'!E11)</f>
        <v/>
      </c>
      <c r="H7" s="149" t="str">
        <f>IF(B7="","",'FORM. DE INSPEÇÃO'!R11)</f>
        <v/>
      </c>
      <c r="I7" s="149" t="str">
        <f>IF(B7="","",'FORM. DE INSPEÇÃO'!A11)</f>
        <v/>
      </c>
      <c r="J7" s="149" t="str">
        <f>IF(B7="","",'FORM. DE INSPEÇÃO'!J11:K11)</f>
        <v/>
      </c>
      <c r="K7" s="149" t="str">
        <f>IF(B7="","",'FORM. DE INSPEÇÃO'!N11)</f>
        <v/>
      </c>
      <c r="L7" s="149" t="str">
        <f>IF(B7="","",'FORM. DE INSPEÇÃO'!P11)</f>
        <v/>
      </c>
      <c r="M7" s="150" t="str">
        <f>IFERROR(VLOOKUP(E7,'TABELA DE DEFEITOS'!$B$4:$F$204,5,0),"")</f>
        <v/>
      </c>
    </row>
    <row r="8" spans="1:13">
      <c r="A8" s="21" t="str">
        <f>IF(B8="","",'FORM. DE INSPEÇÃO'!$I$5)</f>
        <v/>
      </c>
      <c r="B8" s="21" t="str">
        <f t="shared" si="0"/>
        <v/>
      </c>
      <c r="C8" s="21" t="str">
        <f t="shared" si="1"/>
        <v/>
      </c>
      <c r="D8" s="21" t="str">
        <f t="shared" si="2"/>
        <v/>
      </c>
      <c r="E8" s="21" t="str">
        <f>'FORM. DE INSPEÇÃO'!L12</f>
        <v/>
      </c>
      <c r="F8" s="21" t="str">
        <f>'FORM. DE INSPEÇÃO'!M12</f>
        <v/>
      </c>
      <c r="G8" s="22" t="str">
        <f>IF(F8="","",'FORM. DE INSPEÇÃO'!G12&amp;"-"&amp;'FORM. DE INSPEÇÃO'!E12)</f>
        <v/>
      </c>
      <c r="H8" s="149" t="str">
        <f>IF(B8="","",'FORM. DE INSPEÇÃO'!R12)</f>
        <v/>
      </c>
      <c r="I8" s="149" t="str">
        <f>IF(B8="","",'FORM. DE INSPEÇÃO'!A12)</f>
        <v/>
      </c>
      <c r="J8" s="149" t="str">
        <f>IF(B8="","",'FORM. DE INSPEÇÃO'!J12:K12)</f>
        <v/>
      </c>
      <c r="K8" s="149" t="str">
        <f>IF(B8="","",'FORM. DE INSPEÇÃO'!N12)</f>
        <v/>
      </c>
      <c r="L8" s="149" t="str">
        <f>IF(B8="","",'FORM. DE INSPEÇÃO'!P12)</f>
        <v/>
      </c>
      <c r="M8" s="150" t="str">
        <f>IFERROR(VLOOKUP(E8,'TABELA DE DEFEITOS'!$B$4:$F$204,5,0),"")</f>
        <v/>
      </c>
    </row>
    <row r="9" spans="1:13">
      <c r="A9" s="21" t="str">
        <f>IF(B9="","",'FORM. DE INSPEÇÃO'!$I$5)</f>
        <v/>
      </c>
      <c r="B9" s="21" t="str">
        <f t="shared" si="0"/>
        <v/>
      </c>
      <c r="C9" s="21" t="str">
        <f t="shared" si="1"/>
        <v/>
      </c>
      <c r="D9" s="21" t="str">
        <f t="shared" si="2"/>
        <v/>
      </c>
      <c r="E9" s="21" t="str">
        <f>'FORM. DE INSPEÇÃO'!L13</f>
        <v/>
      </c>
      <c r="F9" s="21" t="str">
        <f>'FORM. DE INSPEÇÃO'!M13</f>
        <v/>
      </c>
      <c r="G9" s="22" t="str">
        <f>IF(F9="","",'FORM. DE INSPEÇÃO'!G13&amp;"-"&amp;'FORM. DE INSPEÇÃO'!E13)</f>
        <v/>
      </c>
      <c r="H9" s="149" t="str">
        <f>IF(B9="","",'FORM. DE INSPEÇÃO'!R13)</f>
        <v/>
      </c>
      <c r="I9" s="149" t="str">
        <f>IF(B9="","",'FORM. DE INSPEÇÃO'!A13)</f>
        <v/>
      </c>
      <c r="J9" s="149" t="str">
        <f>IF(B9="","",'FORM. DE INSPEÇÃO'!J13:K13)</f>
        <v/>
      </c>
      <c r="K9" s="149" t="str">
        <f>IF(B9="","",'FORM. DE INSPEÇÃO'!N13)</f>
        <v/>
      </c>
      <c r="L9" s="149" t="str">
        <f>IF(B9="","",'FORM. DE INSPEÇÃO'!P13)</f>
        <v/>
      </c>
      <c r="M9" s="150" t="str">
        <f>IFERROR(VLOOKUP(E9,'TABELA DE DEFEITOS'!$B$4:$F$204,5,0),"")</f>
        <v/>
      </c>
    </row>
    <row r="10" spans="1:13">
      <c r="A10" s="21" t="str">
        <f>IF(B10="","",'FORM. DE INSPEÇÃO'!$I$5)</f>
        <v/>
      </c>
      <c r="B10" s="21" t="str">
        <f t="shared" si="0"/>
        <v/>
      </c>
      <c r="C10" s="21" t="str">
        <f t="shared" si="1"/>
        <v/>
      </c>
      <c r="D10" s="21" t="str">
        <f t="shared" si="2"/>
        <v/>
      </c>
      <c r="E10" s="21" t="str">
        <f>'FORM. DE INSPEÇÃO'!L17</f>
        <v/>
      </c>
      <c r="F10" s="21" t="str">
        <f>'FORM. DE INSPEÇÃO'!M17</f>
        <v/>
      </c>
      <c r="G10" s="22" t="str">
        <f>IF(F10="","",'FORM. DE INSPEÇÃO'!G17&amp;"-"&amp;'FORM. DE INSPEÇÃO'!E17)</f>
        <v/>
      </c>
      <c r="H10" s="149" t="str">
        <f>IF(B10="","",'FORM. DE INSPEÇÃO'!R17)</f>
        <v/>
      </c>
      <c r="I10" s="149" t="str">
        <f>IF(B10="","",'FORM. DE INSPEÇÃO'!A17)</f>
        <v/>
      </c>
      <c r="J10" s="149" t="str">
        <f>IF(B10="","",'FORM. DE INSPEÇÃO'!J17:K17)</f>
        <v/>
      </c>
      <c r="K10" s="149" t="str">
        <f>IF(B10="","",'FORM. DE INSPEÇÃO'!N17)</f>
        <v/>
      </c>
      <c r="L10" s="149" t="str">
        <f>IF(B10="","",'FORM. DE INSPEÇÃO'!P17)</f>
        <v/>
      </c>
      <c r="M10" s="150" t="str">
        <f>IFERROR(VLOOKUP(E10,'TABELA DE DEFEITOS'!$B$4:$F$204,5,0),"")</f>
        <v/>
      </c>
    </row>
    <row r="11" spans="1:13">
      <c r="A11" s="21" t="str">
        <f>IF(B11="","",'FORM. DE INSPEÇÃO'!$I$5)</f>
        <v/>
      </c>
      <c r="B11" s="21" t="str">
        <f t="shared" si="0"/>
        <v/>
      </c>
      <c r="C11" s="21" t="str">
        <f t="shared" si="1"/>
        <v/>
      </c>
      <c r="D11" s="21" t="str">
        <f t="shared" si="2"/>
        <v/>
      </c>
      <c r="E11" s="21" t="str">
        <f>'FORM. DE INSPEÇÃO'!L18</f>
        <v/>
      </c>
      <c r="F11" s="21" t="str">
        <f>'FORM. DE INSPEÇÃO'!M18</f>
        <v/>
      </c>
      <c r="G11" s="22" t="str">
        <f>IF(F11="","",'FORM. DE INSPEÇÃO'!G18&amp;"-"&amp;'FORM. DE INSPEÇÃO'!E18)</f>
        <v/>
      </c>
      <c r="H11" s="149" t="str">
        <f>IF(B11="","",'FORM. DE INSPEÇÃO'!R18)</f>
        <v/>
      </c>
      <c r="I11" s="149" t="str">
        <f>IF(B11="","",'FORM. DE INSPEÇÃO'!A18)</f>
        <v/>
      </c>
      <c r="J11" s="149" t="str">
        <f>IF(B11="","",'FORM. DE INSPEÇÃO'!J18:K18)</f>
        <v/>
      </c>
      <c r="K11" s="149" t="str">
        <f>IF(B11="","",'FORM. DE INSPEÇÃO'!N18)</f>
        <v/>
      </c>
      <c r="L11" s="149" t="str">
        <f>IF(B11="","",'FORM. DE INSPEÇÃO'!P18)</f>
        <v/>
      </c>
      <c r="M11" s="150" t="str">
        <f>IFERROR(VLOOKUP(E11,'TABELA DE DEFEITOS'!$B$4:$F$204,5,0),"")</f>
        <v/>
      </c>
    </row>
    <row r="12" spans="1:13">
      <c r="A12" s="21" t="str">
        <f>IF(B12="","",'FORM. DE INSPEÇÃO'!$I$5)</f>
        <v/>
      </c>
      <c r="B12" s="21" t="str">
        <f t="shared" si="0"/>
        <v/>
      </c>
      <c r="C12" s="21" t="str">
        <f t="shared" si="1"/>
        <v/>
      </c>
      <c r="D12" s="21" t="str">
        <f t="shared" si="2"/>
        <v/>
      </c>
      <c r="E12" s="21" t="str">
        <f>'FORM. DE INSPEÇÃO'!L19</f>
        <v/>
      </c>
      <c r="F12" s="21" t="str">
        <f>'FORM. DE INSPEÇÃO'!M19</f>
        <v/>
      </c>
      <c r="G12" s="22" t="str">
        <f>IF(F12="","",'FORM. DE INSPEÇÃO'!G19&amp;"-"&amp;'FORM. DE INSPEÇÃO'!E19)</f>
        <v/>
      </c>
      <c r="H12" s="149" t="str">
        <f>IF(B12="","",'FORM. DE INSPEÇÃO'!R19)</f>
        <v/>
      </c>
      <c r="I12" s="149" t="str">
        <f>IF(B12="","",'FORM. DE INSPEÇÃO'!A19)</f>
        <v/>
      </c>
      <c r="J12" s="149" t="str">
        <f>IF(B12="","",'FORM. DE INSPEÇÃO'!J19:K19)</f>
        <v/>
      </c>
      <c r="K12" s="149" t="str">
        <f>IF(B12="","",'FORM. DE INSPEÇÃO'!N19)</f>
        <v/>
      </c>
      <c r="L12" s="149" t="str">
        <f>IF(B12="","",'FORM. DE INSPEÇÃO'!P19)</f>
        <v/>
      </c>
      <c r="M12" s="150" t="str">
        <f>IFERROR(VLOOKUP(E12,'TABELA DE DEFEITOS'!$B$4:$F$204,5,0),"")</f>
        <v/>
      </c>
    </row>
    <row r="13" spans="1:13">
      <c r="A13" s="21" t="str">
        <f>IF(B13="","",'FORM. DE INSPEÇÃO'!$I$5)</f>
        <v/>
      </c>
      <c r="B13" s="21" t="str">
        <f t="shared" si="0"/>
        <v/>
      </c>
      <c r="C13" s="21" t="str">
        <f t="shared" si="1"/>
        <v/>
      </c>
      <c r="D13" s="21" t="str">
        <f t="shared" si="2"/>
        <v/>
      </c>
      <c r="E13" s="21" t="str">
        <f>'FORM. DE INSPEÇÃO'!L20</f>
        <v/>
      </c>
      <c r="F13" s="21" t="str">
        <f>'FORM. DE INSPEÇÃO'!M20</f>
        <v/>
      </c>
      <c r="G13" s="22" t="str">
        <f>IF(F13="","",'FORM. DE INSPEÇÃO'!G20&amp;"-"&amp;'FORM. DE INSPEÇÃO'!E20)</f>
        <v/>
      </c>
      <c r="H13" s="149" t="str">
        <f>IF(B13="","",'FORM. DE INSPEÇÃO'!R20)</f>
        <v/>
      </c>
      <c r="I13" s="149" t="str">
        <f>IF(B13="","",'FORM. DE INSPEÇÃO'!A20)</f>
        <v/>
      </c>
      <c r="J13" s="149" t="str">
        <f>IF(B13="","",'FORM. DE INSPEÇÃO'!J20:K20)</f>
        <v/>
      </c>
      <c r="K13" s="149" t="str">
        <f>IF(B13="","",'FORM. DE INSPEÇÃO'!N20)</f>
        <v/>
      </c>
      <c r="L13" s="149" t="str">
        <f>IF(B13="","",'FORM. DE INSPEÇÃO'!P20)</f>
        <v/>
      </c>
      <c r="M13" s="150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INSPEÇÃO'!L21</f>
        <v/>
      </c>
      <c r="F14" s="21" t="str">
        <f>'FORM. DE INSPEÇÃO'!M21</f>
        <v/>
      </c>
      <c r="G14" s="22" t="str">
        <f>IF(F14="","",'FORM. DE INSPEÇÃO'!G21&amp;"-"&amp;'FORM. DE INSPEÇÃO'!E21)</f>
        <v/>
      </c>
      <c r="H14" s="149" t="str">
        <f>IF(B14="","",'FORM. DE INSPEÇÃO'!R21)</f>
        <v/>
      </c>
      <c r="I14" s="149" t="str">
        <f>IF(B14="","",'FORM. DE INSPEÇÃO'!A21)</f>
        <v/>
      </c>
      <c r="J14" s="149" t="str">
        <f>IF(B14="","",'FORM. DE INSPEÇÃO'!J21:K21)</f>
        <v/>
      </c>
      <c r="K14" s="149" t="str">
        <f>IF(B14="","",'FORM. DE INSPEÇÃO'!N21)</f>
        <v/>
      </c>
      <c r="L14" s="149" t="str">
        <f>IF(B14="","",'FORM. DE INSPEÇÃO'!P21)</f>
        <v/>
      </c>
      <c r="M14" s="150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INSPEÇÃO'!L22</f>
        <v/>
      </c>
      <c r="F15" s="21" t="str">
        <f>'FORM. DE INSPEÇÃO'!M22</f>
        <v/>
      </c>
      <c r="G15" s="22" t="str">
        <f>IF(F15="","",'FORM. DE INSPEÇÃO'!G22&amp;"-"&amp;'FORM. DE INSPEÇÃO'!E22)</f>
        <v/>
      </c>
      <c r="H15" s="149" t="str">
        <f>IF(B15="","",'FORM. DE INSPEÇÃO'!R22)</f>
        <v/>
      </c>
      <c r="I15" s="149" t="str">
        <f>IF(B15="","",'FORM. DE INSPEÇÃO'!A22)</f>
        <v/>
      </c>
      <c r="J15" s="149" t="str">
        <f>IF(B15="","",'FORM. DE INSPEÇÃO'!J22:K22)</f>
        <v/>
      </c>
      <c r="K15" s="149" t="str">
        <f>IF(B15="","",'FORM. DE INSPEÇÃO'!N22)</f>
        <v/>
      </c>
      <c r="L15" s="149" t="str">
        <f>IF(B15="","",'FORM. DE INSPEÇÃO'!P22)</f>
        <v/>
      </c>
      <c r="M15" s="150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INSPEÇÃO'!L23</f>
        <v/>
      </c>
      <c r="F16" s="21" t="str">
        <f>'FORM. DE INSPEÇÃO'!M23</f>
        <v/>
      </c>
      <c r="G16" s="22" t="str">
        <f>IF(F16="","",'FORM. DE INSPEÇÃO'!G23&amp;"-"&amp;'FORM. DE INSPEÇÃO'!E23)</f>
        <v/>
      </c>
      <c r="H16" s="149" t="str">
        <f>IF(B16="","",'FORM. DE INSPEÇÃO'!R23)</f>
        <v/>
      </c>
      <c r="I16" s="149" t="str">
        <f>IF(B16="","",'FORM. DE INSPEÇÃO'!A23)</f>
        <v/>
      </c>
      <c r="J16" s="149" t="str">
        <f>IF(B16="","",'FORM. DE INSPEÇÃO'!J23:K23)</f>
        <v/>
      </c>
      <c r="K16" s="149" t="str">
        <f>IF(B16="","",'FORM. DE INSPEÇÃO'!N23)</f>
        <v/>
      </c>
      <c r="L16" s="149" t="str">
        <f>IF(B16="","",'FORM. DE INSPEÇÃO'!P23)</f>
        <v/>
      </c>
      <c r="M16" s="150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INSPEÇÃO'!L24</f>
        <v/>
      </c>
      <c r="F17" s="21" t="str">
        <f>'FORM. DE INSPEÇÃO'!M24</f>
        <v/>
      </c>
      <c r="G17" s="22" t="str">
        <f>IF(F17="","",'FORM. DE INSPEÇÃO'!G24&amp;"-"&amp;'FORM. DE INSPEÇÃO'!E24)</f>
        <v/>
      </c>
      <c r="H17" s="149" t="str">
        <f>IF(B17="","",'FORM. DE INSPEÇÃO'!R24)</f>
        <v/>
      </c>
      <c r="I17" s="149" t="str">
        <f>IF(B17="","",'FORM. DE INSPEÇÃO'!A24)</f>
        <v/>
      </c>
      <c r="J17" s="149" t="str">
        <f>IF(B17="","",'FORM. DE INSPEÇÃO'!J24:K24)</f>
        <v/>
      </c>
      <c r="K17" s="149" t="str">
        <f>IF(B17="","",'FORM. DE INSPEÇÃO'!N24)</f>
        <v/>
      </c>
      <c r="L17" s="149" t="str">
        <f>IF(B17="","",'FORM. DE INSPEÇÃO'!P24)</f>
        <v/>
      </c>
      <c r="M17" s="150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INSPEÇÃO'!L25</f>
        <v/>
      </c>
      <c r="F18" s="21" t="str">
        <f>'FORM. DE INSPEÇÃO'!M25</f>
        <v/>
      </c>
      <c r="G18" s="22" t="str">
        <f>IF(F18="","",'FORM. DE INSPEÇÃO'!G25&amp;"-"&amp;'FORM. DE INSPEÇÃO'!E25)</f>
        <v/>
      </c>
      <c r="H18" s="149" t="str">
        <f>IF(B18="","",'FORM. DE INSPEÇÃO'!R25)</f>
        <v/>
      </c>
      <c r="I18" s="149" t="str">
        <f>IF(B18="","",'FORM. DE INSPEÇÃO'!A25)</f>
        <v/>
      </c>
      <c r="J18" s="149" t="str">
        <f>IF(B18="","",'FORM. DE INSPEÇÃO'!J25:K25)</f>
        <v/>
      </c>
      <c r="K18" s="149" t="str">
        <f>IF(B18="","",'FORM. DE INSPEÇÃO'!N25)</f>
        <v/>
      </c>
      <c r="L18" s="149" t="str">
        <f>IF(B18="","",'FORM. DE INSPEÇÃO'!P25)</f>
        <v/>
      </c>
      <c r="M18" s="150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INSPEÇÃO'!L26</f>
        <v/>
      </c>
      <c r="F19" s="21" t="str">
        <f>'FORM. DE INSPEÇÃO'!M26</f>
        <v/>
      </c>
      <c r="G19" s="22" t="str">
        <f>IF(F19="","",'FORM. DE INSPEÇÃO'!G26&amp;"-"&amp;'FORM. DE INSPEÇÃO'!E26)</f>
        <v/>
      </c>
      <c r="H19" s="149" t="str">
        <f>IF(B19="","",'FORM. DE INSPEÇÃO'!R26)</f>
        <v/>
      </c>
      <c r="I19" s="149" t="str">
        <f>IF(B19="","",'FORM. DE INSPEÇÃO'!A26)</f>
        <v/>
      </c>
      <c r="J19" s="149" t="str">
        <f>IF(B19="","",'FORM. DE INSPEÇÃO'!J26:K26)</f>
        <v/>
      </c>
      <c r="K19" s="149" t="str">
        <f>IF(B19="","",'FORM. DE INSPEÇÃO'!N26)</f>
        <v/>
      </c>
      <c r="L19" s="149" t="str">
        <f>IF(B19="","",'FORM. DE INSPEÇÃO'!P26)</f>
        <v/>
      </c>
      <c r="M19" s="150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INSPEÇÃO'!L27</f>
        <v/>
      </c>
      <c r="F20" s="21" t="str">
        <f>'FORM. DE INSPEÇÃO'!M27</f>
        <v/>
      </c>
      <c r="G20" s="22" t="str">
        <f>IF(F20="","",'FORM. DE INSPEÇÃO'!G27&amp;"-"&amp;'FORM. DE INSPEÇÃO'!E27)</f>
        <v/>
      </c>
      <c r="H20" s="149" t="str">
        <f>IF(B20="","",'FORM. DE INSPEÇÃO'!R27)</f>
        <v/>
      </c>
      <c r="I20" s="149" t="str">
        <f>IF(B20="","",'FORM. DE INSPEÇÃO'!A27)</f>
        <v/>
      </c>
      <c r="J20" s="149" t="str">
        <f>IF(B20="","",'FORM. DE INSPEÇÃO'!J27:K27)</f>
        <v/>
      </c>
      <c r="K20" s="149" t="str">
        <f>IF(B20="","",'FORM. DE INSPEÇÃO'!N27)</f>
        <v/>
      </c>
      <c r="L20" s="149" t="str">
        <f>IF(B20="","",'FORM. DE INSPEÇÃO'!P27)</f>
        <v/>
      </c>
      <c r="M20" s="150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INSPEÇÃO'!L28</f>
        <v/>
      </c>
      <c r="F21" s="21" t="str">
        <f>'FORM. DE INSPEÇÃO'!M28</f>
        <v/>
      </c>
      <c r="G21" s="22" t="str">
        <f>IF(F21="","",'FORM. DE INSPEÇÃO'!G28&amp;"-"&amp;'FORM. DE INSPEÇÃO'!E28)</f>
        <v/>
      </c>
      <c r="H21" s="149" t="str">
        <f>IF(B21="","",'FORM. DE INSPEÇÃO'!R28)</f>
        <v/>
      </c>
      <c r="I21" s="149" t="str">
        <f>IF(B21="","",'FORM. DE INSPEÇÃO'!A28)</f>
        <v/>
      </c>
      <c r="J21" s="149" t="str">
        <f>IF(B21="","",'FORM. DE INSPEÇÃO'!J28:K28)</f>
        <v/>
      </c>
      <c r="K21" s="149" t="str">
        <f>IF(B21="","",'FORM. DE INSPEÇÃO'!N28)</f>
        <v/>
      </c>
      <c r="L21" s="149" t="str">
        <f>IF(B21="","",'FORM. DE INSPEÇÃO'!P28)</f>
        <v/>
      </c>
      <c r="M21" s="150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INSPEÇÃO'!L29</f>
        <v/>
      </c>
      <c r="F22" s="21" t="str">
        <f>'FORM. DE INSPEÇÃO'!M29</f>
        <v/>
      </c>
      <c r="G22" s="22" t="str">
        <f>IF(F22="","",'FORM. DE INSPEÇÃO'!G29&amp;"-"&amp;'FORM. DE INSPEÇÃO'!E29)</f>
        <v/>
      </c>
      <c r="H22" s="149" t="str">
        <f>IF(B22="","",'FORM. DE INSPEÇÃO'!R29)</f>
        <v/>
      </c>
      <c r="I22" s="149" t="str">
        <f>IF(B22="","",'FORM. DE INSPEÇÃO'!A29)</f>
        <v/>
      </c>
      <c r="J22" s="149" t="str">
        <f>IF(B22="","",'FORM. DE INSPEÇÃO'!J29:K29)</f>
        <v/>
      </c>
      <c r="K22" s="149" t="str">
        <f>IF(B22="","",'FORM. DE INSPEÇÃO'!N29)</f>
        <v/>
      </c>
      <c r="L22" s="149" t="str">
        <f>IF(B22="","",'FORM. DE INSPEÇÃO'!P29)</f>
        <v/>
      </c>
      <c r="M22" s="150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INSPEÇÃO'!L30</f>
        <v/>
      </c>
      <c r="F23" s="21" t="str">
        <f>'FORM. DE INSPEÇÃO'!M30</f>
        <v/>
      </c>
      <c r="G23" s="22" t="str">
        <f>IF(F23="","",'FORM. DE INSPEÇÃO'!G30&amp;"-"&amp;'FORM. DE INSPEÇÃO'!E30)</f>
        <v/>
      </c>
      <c r="H23" s="149" t="str">
        <f>IF(B23="","",'FORM. DE INSPEÇÃO'!R30)</f>
        <v/>
      </c>
      <c r="I23" s="149" t="str">
        <f>IF(B23="","",'FORM. DE INSPEÇÃO'!A30)</f>
        <v/>
      </c>
      <c r="J23" s="149" t="str">
        <f>IF(B23="","",'FORM. DE INSPEÇÃO'!J30:K30)</f>
        <v/>
      </c>
      <c r="K23" s="149" t="str">
        <f>IF(B23="","",'FORM. DE INSPEÇÃO'!N30)</f>
        <v/>
      </c>
      <c r="L23" s="149" t="str">
        <f>IF(B23="","",'FORM. DE INSPEÇÃO'!P30)</f>
        <v/>
      </c>
      <c r="M23" s="150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INSPEÇÃO'!L31</f>
        <v/>
      </c>
      <c r="F24" s="21" t="str">
        <f>'FORM. DE INSPEÇÃO'!M31</f>
        <v/>
      </c>
      <c r="G24" s="22" t="str">
        <f>IF(F24="","",'FORM. DE INSPEÇÃO'!G31&amp;"-"&amp;'FORM. DE INSPEÇÃO'!E31)</f>
        <v/>
      </c>
      <c r="H24" s="149" t="str">
        <f>IF(B24="","",'FORM. DE INSPEÇÃO'!R31)</f>
        <v/>
      </c>
      <c r="I24" s="149" t="str">
        <f>IF(B24="","",'FORM. DE INSPEÇÃO'!A31)</f>
        <v/>
      </c>
      <c r="J24" s="149" t="str">
        <f>IF(B24="","",'FORM. DE INSPEÇÃO'!J31:K31)</f>
        <v/>
      </c>
      <c r="K24" s="149" t="str">
        <f>IF(B24="","",'FORM. DE INSPEÇÃO'!N31)</f>
        <v/>
      </c>
      <c r="L24" s="149" t="str">
        <f>IF(B24="","",'FORM. DE INSPEÇÃO'!P31)</f>
        <v/>
      </c>
      <c r="M24" s="150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INSPEÇÃO'!L32</f>
        <v/>
      </c>
      <c r="F25" s="21" t="str">
        <f>'FORM. DE INSPEÇÃO'!M32</f>
        <v/>
      </c>
      <c r="G25" s="22" t="str">
        <f>IF(F25="","",'FORM. DE INSPEÇÃO'!G32&amp;"-"&amp;'FORM. DE INSPEÇÃO'!E32)</f>
        <v/>
      </c>
      <c r="H25" s="149" t="str">
        <f>IF(B25="","",'FORM. DE INSPEÇÃO'!R32)</f>
        <v/>
      </c>
      <c r="I25" s="149" t="str">
        <f>IF(B25="","",'FORM. DE INSPEÇÃO'!A32)</f>
        <v/>
      </c>
      <c r="J25" s="149" t="str">
        <f>IF(B25="","",'FORM. DE INSPEÇÃO'!J32:K32)</f>
        <v/>
      </c>
      <c r="K25" s="149" t="str">
        <f>IF(B25="","",'FORM. DE INSPEÇÃO'!N32)</f>
        <v/>
      </c>
      <c r="L25" s="149" t="str">
        <f>IF(B25="","",'FORM. DE INSPEÇÃO'!P32)</f>
        <v/>
      </c>
      <c r="M25" s="150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INSPEÇÃO'!L33</f>
        <v/>
      </c>
      <c r="F26" s="21" t="str">
        <f>'FORM. DE INSPEÇÃO'!M33</f>
        <v/>
      </c>
      <c r="G26" s="22" t="str">
        <f>IF(F26="","",'FORM. DE INSPEÇÃO'!G33&amp;"-"&amp;'FORM. DE INSPEÇÃO'!E33)</f>
        <v/>
      </c>
      <c r="H26" s="149" t="str">
        <f>IF(B26="","",'FORM. DE INSPEÇÃO'!R33)</f>
        <v/>
      </c>
      <c r="I26" s="149" t="str">
        <f>IF(B26="","",'FORM. DE INSPEÇÃO'!A33)</f>
        <v/>
      </c>
      <c r="J26" s="149" t="str">
        <f>IF(B26="","",'FORM. DE INSPEÇÃO'!J33:K33)</f>
        <v/>
      </c>
      <c r="K26" s="149" t="str">
        <f>IF(B26="","",'FORM. DE INSPEÇÃO'!N33)</f>
        <v/>
      </c>
      <c r="L26" s="149" t="str">
        <f>IF(B26="","",'FORM. DE INSPEÇÃO'!P33)</f>
        <v/>
      </c>
      <c r="M26" s="150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INSPEÇÃO'!L34</f>
        <v/>
      </c>
      <c r="F27" s="21" t="str">
        <f>'FORM. DE INSPEÇÃO'!M34</f>
        <v/>
      </c>
      <c r="G27" s="22" t="str">
        <f>IF(F27="","",'FORM. DE INSPEÇÃO'!G34&amp;"-"&amp;'FORM. DE INSPEÇÃO'!E34)</f>
        <v/>
      </c>
      <c r="H27" s="149" t="str">
        <f>IF(B27="","",'FORM. DE INSPEÇÃO'!R34)</f>
        <v/>
      </c>
      <c r="I27" s="149" t="str">
        <f>IF(B27="","",'FORM. DE INSPEÇÃO'!A34)</f>
        <v/>
      </c>
      <c r="J27" s="149" t="str">
        <f>IF(B27="","",'FORM. DE INSPEÇÃO'!J34:K34)</f>
        <v/>
      </c>
      <c r="K27" s="149" t="str">
        <f>IF(B27="","",'FORM. DE INSPEÇÃO'!N34)</f>
        <v/>
      </c>
      <c r="L27" s="149" t="str">
        <f>IF(B27="","",'FORM. DE INSPEÇÃO'!P34)</f>
        <v/>
      </c>
      <c r="M27" s="150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INSPEÇÃO'!L35</f>
        <v/>
      </c>
      <c r="F28" s="21" t="str">
        <f>'FORM. DE INSPEÇÃO'!M35</f>
        <v/>
      </c>
      <c r="G28" s="22" t="str">
        <f>IF(F28="","",'FORM. DE INSPEÇÃO'!G35&amp;"-"&amp;'FORM. DE INSPEÇÃO'!E35)</f>
        <v/>
      </c>
      <c r="H28" s="149" t="str">
        <f>IF(B28="","",'FORM. DE INSPEÇÃO'!R35)</f>
        <v/>
      </c>
      <c r="I28" s="149" t="str">
        <f>IF(B28="","",'FORM. DE INSPEÇÃO'!A35)</f>
        <v/>
      </c>
      <c r="J28" s="149" t="str">
        <f>IF(B28="","",'FORM. DE INSPEÇÃO'!J35:K35)</f>
        <v/>
      </c>
      <c r="K28" s="149" t="str">
        <f>IF(B28="","",'FORM. DE INSPEÇÃO'!N35)</f>
        <v/>
      </c>
      <c r="L28" s="149" t="str">
        <f>IF(B28="","",'FORM. DE INSPEÇÃO'!P35)</f>
        <v/>
      </c>
      <c r="M28" s="150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INSPEÇÃO'!L36</f>
        <v/>
      </c>
      <c r="F29" s="21" t="str">
        <f>'FORM. DE INSPEÇÃO'!M36</f>
        <v/>
      </c>
      <c r="G29" s="22" t="str">
        <f>IF(F29="","",'FORM. DE INSPEÇÃO'!G36&amp;"-"&amp;'FORM. DE INSPEÇÃO'!E36)</f>
        <v/>
      </c>
      <c r="H29" s="149" t="str">
        <f>IF(B29="","",'FORM. DE INSPEÇÃO'!R36)</f>
        <v/>
      </c>
      <c r="I29" s="149" t="str">
        <f>IF(B29="","",'FORM. DE INSPEÇÃO'!A36)</f>
        <v/>
      </c>
      <c r="J29" s="149" t="str">
        <f>IF(B29="","",'FORM. DE INSPEÇÃO'!J36:K36)</f>
        <v/>
      </c>
      <c r="K29" s="149" t="str">
        <f>IF(B29="","",'FORM. DE INSPEÇÃO'!N36)</f>
        <v/>
      </c>
      <c r="L29" s="149" t="str">
        <f>IF(B29="","",'FORM. DE INSPEÇÃO'!P36)</f>
        <v/>
      </c>
      <c r="M29" s="150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INSPEÇÃO'!L37</f>
        <v/>
      </c>
      <c r="F30" s="21" t="str">
        <f>'FORM. DE INSPEÇÃO'!M37</f>
        <v/>
      </c>
      <c r="G30" s="22" t="str">
        <f>IF(F30="","",'FORM. DE INSPEÇÃO'!G37&amp;"-"&amp;'FORM. DE INSPEÇÃO'!E37)</f>
        <v/>
      </c>
      <c r="H30" s="149" t="str">
        <f>IF(B30="","",'FORM. DE INSPEÇÃO'!R37)</f>
        <v/>
      </c>
      <c r="I30" s="149" t="str">
        <f>IF(B30="","",'FORM. DE INSPEÇÃO'!A37)</f>
        <v/>
      </c>
      <c r="J30" s="149" t="str">
        <f>IF(B30="","",'FORM. DE INSPEÇÃO'!J37:K37)</f>
        <v/>
      </c>
      <c r="K30" s="149" t="str">
        <f>IF(B30="","",'FORM. DE INSPEÇÃO'!N37)</f>
        <v/>
      </c>
      <c r="L30" s="149" t="str">
        <f>IF(B30="","",'FORM. DE INSPEÇÃO'!P37)</f>
        <v/>
      </c>
      <c r="M30" s="150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INSPEÇÃO'!L38</f>
        <v/>
      </c>
      <c r="F31" s="21" t="str">
        <f>'FORM. DE INSPEÇÃO'!M38</f>
        <v/>
      </c>
      <c r="G31" s="22" t="str">
        <f>IF(F31="","",'FORM. DE INSPEÇÃO'!G38&amp;"-"&amp;'FORM. DE INSPEÇÃO'!E38)</f>
        <v/>
      </c>
      <c r="H31" s="149" t="str">
        <f>IF(B31="","",'FORM. DE INSPEÇÃO'!R38)</f>
        <v/>
      </c>
      <c r="I31" s="149" t="str">
        <f>IF(B31="","",'FORM. DE INSPEÇÃO'!A38)</f>
        <v/>
      </c>
      <c r="J31" s="149" t="str">
        <f>IF(B31="","",'FORM. DE INSPEÇÃO'!J38:K38)</f>
        <v/>
      </c>
      <c r="K31" s="149" t="str">
        <f>IF(B31="","",'FORM. DE INSPEÇÃO'!N38)</f>
        <v/>
      </c>
      <c r="L31" s="149" t="str">
        <f>IF(B31="","",'FORM. DE INSPEÇÃO'!P38)</f>
        <v/>
      </c>
      <c r="M31" s="150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INSPEÇÃO'!L39</f>
        <v/>
      </c>
      <c r="F32" s="21" t="str">
        <f>'FORM. DE INSPEÇÃO'!M39</f>
        <v/>
      </c>
      <c r="G32" s="22" t="str">
        <f>IF(F32="","",'FORM. DE INSPEÇÃO'!G39&amp;"-"&amp;'FORM. DE INSPEÇÃO'!E39)</f>
        <v/>
      </c>
      <c r="H32" s="149" t="str">
        <f>IF(B32="","",'FORM. DE INSPEÇÃO'!R39)</f>
        <v/>
      </c>
      <c r="I32" s="149" t="str">
        <f>IF(B32="","",'FORM. DE INSPEÇÃO'!A39)</f>
        <v/>
      </c>
      <c r="J32" s="149" t="str">
        <f>IF(B32="","",'FORM. DE INSPEÇÃO'!J39:K39)</f>
        <v/>
      </c>
      <c r="K32" s="149" t="str">
        <f>IF(B32="","",'FORM. DE INSPEÇÃO'!N39)</f>
        <v/>
      </c>
      <c r="L32" s="149" t="str">
        <f>IF(B32="","",'FORM. DE INSPEÇÃO'!P39)</f>
        <v/>
      </c>
      <c r="M32" s="150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INSPEÇÃO'!L40</f>
        <v/>
      </c>
      <c r="F33" s="21" t="str">
        <f>'FORM. DE INSPEÇÃO'!M40</f>
        <v/>
      </c>
      <c r="G33" s="22" t="str">
        <f>IF(F33="","",'FORM. DE INSPEÇÃO'!G40&amp;"-"&amp;'FORM. DE INSPEÇÃO'!E40)</f>
        <v/>
      </c>
      <c r="H33" s="149" t="str">
        <f>IF(B33="","",'FORM. DE INSPEÇÃO'!R40)</f>
        <v/>
      </c>
      <c r="I33" s="149" t="str">
        <f>IF(B33="","",'FORM. DE INSPEÇÃO'!A40)</f>
        <v/>
      </c>
      <c r="J33" s="149" t="str">
        <f>IF(B33="","",'FORM. DE INSPEÇÃO'!J40:K40)</f>
        <v/>
      </c>
      <c r="K33" s="149" t="str">
        <f>IF(B33="","",'FORM. DE INSPEÇÃO'!N40)</f>
        <v/>
      </c>
      <c r="L33" s="149" t="str">
        <f>IF(B33="","",'FORM. DE INSPEÇÃO'!P40)</f>
        <v/>
      </c>
      <c r="M33" s="150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ref="B34:B65" si="3">IF(E34="","","LT")</f>
        <v/>
      </c>
      <c r="C34" s="21" t="str">
        <f t="shared" ref="C34:C65" si="4">IF(E34="","",LEFT(E34,2))</f>
        <v/>
      </c>
      <c r="D34" s="21" t="str">
        <f t="shared" ref="D34:D65" si="5">B34&amp;C34</f>
        <v/>
      </c>
      <c r="E34" s="21" t="str">
        <f>'FORM. DE INSPEÇÃO'!L41</f>
        <v/>
      </c>
      <c r="F34" s="21" t="str">
        <f>'FORM. DE INSPEÇÃO'!M41</f>
        <v/>
      </c>
      <c r="G34" s="22" t="str">
        <f>IF(F34="","",'FORM. DE INSPEÇÃO'!G41&amp;"-"&amp;'FORM. DE INSPEÇÃO'!E41)</f>
        <v/>
      </c>
      <c r="H34" s="149" t="str">
        <f>IF(B34="","",'FORM. DE INSPEÇÃO'!R41)</f>
        <v/>
      </c>
      <c r="I34" s="149" t="str">
        <f>IF(B34="","",'FORM. DE INSPEÇÃO'!A41)</f>
        <v/>
      </c>
      <c r="J34" s="149" t="str">
        <f>IF(B34="","",'FORM. DE INSPEÇÃO'!J41:K41)</f>
        <v/>
      </c>
      <c r="K34" s="149" t="str">
        <f>IF(B34="","",'FORM. DE INSPEÇÃO'!N41)</f>
        <v/>
      </c>
      <c r="L34" s="149" t="str">
        <f>IF(B34="","",'FORM. DE INSPEÇÃO'!P41)</f>
        <v/>
      </c>
      <c r="M34" s="150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3"/>
        <v/>
      </c>
      <c r="C35" s="21" t="str">
        <f t="shared" si="4"/>
        <v/>
      </c>
      <c r="D35" s="21" t="str">
        <f t="shared" si="5"/>
        <v/>
      </c>
      <c r="E35" s="21" t="str">
        <f>'FORM. DE INSPEÇÃO'!L42</f>
        <v/>
      </c>
      <c r="F35" s="21" t="str">
        <f>'FORM. DE INSPEÇÃO'!M42</f>
        <v/>
      </c>
      <c r="G35" s="22" t="str">
        <f>IF(F35="","",'FORM. DE INSPEÇÃO'!G42&amp;"-"&amp;'FORM. DE INSPEÇÃO'!E42)</f>
        <v/>
      </c>
      <c r="H35" s="149" t="str">
        <f>IF(B35="","",'FORM. DE INSPEÇÃO'!R42)</f>
        <v/>
      </c>
      <c r="I35" s="149" t="str">
        <f>IF(B35="","",'FORM. DE INSPEÇÃO'!A42)</f>
        <v/>
      </c>
      <c r="J35" s="149" t="str">
        <f>IF(B35="","",'FORM. DE INSPEÇÃO'!J42:K42)</f>
        <v/>
      </c>
      <c r="K35" s="149" t="str">
        <f>IF(B35="","",'FORM. DE INSPEÇÃO'!N42)</f>
        <v/>
      </c>
      <c r="L35" s="149" t="str">
        <f>IF(B35="","",'FORM. DE INSPEÇÃO'!P42)</f>
        <v/>
      </c>
      <c r="M35" s="150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3"/>
        <v/>
      </c>
      <c r="C36" s="21" t="str">
        <f t="shared" si="4"/>
        <v/>
      </c>
      <c r="D36" s="21" t="str">
        <f t="shared" si="5"/>
        <v/>
      </c>
      <c r="E36" s="21" t="str">
        <f>'FORM. DE INSPEÇÃO'!L43</f>
        <v/>
      </c>
      <c r="F36" s="21" t="str">
        <f>'FORM. DE INSPEÇÃO'!M43</f>
        <v/>
      </c>
      <c r="G36" s="22" t="str">
        <f>IF(F36="","",'FORM. DE INSPEÇÃO'!G43&amp;"-"&amp;'FORM. DE INSPEÇÃO'!E43)</f>
        <v/>
      </c>
      <c r="H36" s="149" t="str">
        <f>IF(B36="","",'FORM. DE INSPEÇÃO'!R43)</f>
        <v/>
      </c>
      <c r="I36" s="149" t="str">
        <f>IF(B36="","",'FORM. DE INSPEÇÃO'!A43)</f>
        <v/>
      </c>
      <c r="J36" s="149" t="str">
        <f>IF(B36="","",'FORM. DE INSPEÇÃO'!J43:K43)</f>
        <v/>
      </c>
      <c r="K36" s="149" t="str">
        <f>IF(B36="","",'FORM. DE INSPEÇÃO'!N43)</f>
        <v/>
      </c>
      <c r="L36" s="149" t="str">
        <f>IF(B36="","",'FORM. DE INSPEÇÃO'!P43)</f>
        <v/>
      </c>
      <c r="M36" s="150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3"/>
        <v/>
      </c>
      <c r="C37" s="21" t="str">
        <f t="shared" si="4"/>
        <v/>
      </c>
      <c r="D37" s="21" t="str">
        <f t="shared" si="5"/>
        <v/>
      </c>
      <c r="E37" s="21" t="str">
        <f>'FORM. DE INSPEÇÃO'!L44</f>
        <v/>
      </c>
      <c r="F37" s="21" t="str">
        <f>'FORM. DE INSPEÇÃO'!M44</f>
        <v/>
      </c>
      <c r="G37" s="22" t="str">
        <f>IF(F37="","",'FORM. DE INSPEÇÃO'!G44&amp;"-"&amp;'FORM. DE INSPEÇÃO'!E44)</f>
        <v/>
      </c>
      <c r="H37" s="149" t="str">
        <f>IF(B37="","",'FORM. DE INSPEÇÃO'!R44)</f>
        <v/>
      </c>
      <c r="I37" s="149" t="str">
        <f>IF(B37="","",'FORM. DE INSPEÇÃO'!A44)</f>
        <v/>
      </c>
      <c r="J37" s="149" t="str">
        <f>IF(B37="","",'FORM. DE INSPEÇÃO'!J44:K44)</f>
        <v/>
      </c>
      <c r="K37" s="149" t="str">
        <f>IF(B37="","",'FORM. DE INSPEÇÃO'!N44)</f>
        <v/>
      </c>
      <c r="L37" s="149" t="str">
        <f>IF(B37="","",'FORM. DE INSPEÇÃO'!P44)</f>
        <v/>
      </c>
      <c r="M37" s="150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3"/>
        <v/>
      </c>
      <c r="C38" s="21" t="str">
        <f t="shared" si="4"/>
        <v/>
      </c>
      <c r="D38" s="21" t="str">
        <f t="shared" si="5"/>
        <v/>
      </c>
      <c r="E38" s="21" t="str">
        <f>'FORM. DE INSPEÇÃO'!L45</f>
        <v/>
      </c>
      <c r="F38" s="21" t="str">
        <f>'FORM. DE INSPEÇÃO'!M45</f>
        <v/>
      </c>
      <c r="G38" s="22" t="str">
        <f>IF(F38="","",'FORM. DE INSPEÇÃO'!G45&amp;"-"&amp;'FORM. DE INSPEÇÃO'!E45)</f>
        <v/>
      </c>
      <c r="H38" s="149" t="str">
        <f>IF(B38="","",'FORM. DE INSPEÇÃO'!R45)</f>
        <v/>
      </c>
      <c r="I38" s="149" t="str">
        <f>IF(B38="","",'FORM. DE INSPEÇÃO'!A45)</f>
        <v/>
      </c>
      <c r="J38" s="149" t="str">
        <f>IF(B38="","",'FORM. DE INSPEÇÃO'!J45:K45)</f>
        <v/>
      </c>
      <c r="K38" s="149" t="str">
        <f>IF(B38="","",'FORM. DE INSPEÇÃO'!N45)</f>
        <v/>
      </c>
      <c r="L38" s="149" t="str">
        <f>IF(B38="","",'FORM. DE INSPEÇÃO'!P45)</f>
        <v/>
      </c>
      <c r="M38" s="150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3"/>
        <v/>
      </c>
      <c r="C39" s="21" t="str">
        <f t="shared" si="4"/>
        <v/>
      </c>
      <c r="D39" s="21" t="str">
        <f t="shared" si="5"/>
        <v/>
      </c>
      <c r="E39" s="21" t="str">
        <f>'FORM. DE INSPEÇÃO'!L46</f>
        <v/>
      </c>
      <c r="F39" s="21" t="str">
        <f>'FORM. DE INSPEÇÃO'!M46</f>
        <v/>
      </c>
      <c r="G39" s="22" t="str">
        <f>IF(F39="","",'FORM. DE INSPEÇÃO'!G46&amp;"-"&amp;'FORM. DE INSPEÇÃO'!E46)</f>
        <v/>
      </c>
      <c r="H39" s="149" t="str">
        <f>IF(B39="","",'FORM. DE INSPEÇÃO'!R46)</f>
        <v/>
      </c>
      <c r="I39" s="149" t="str">
        <f>IF(B39="","",'FORM. DE INSPEÇÃO'!A46)</f>
        <v/>
      </c>
      <c r="J39" s="149" t="str">
        <f>IF(B39="","",'FORM. DE INSPEÇÃO'!J46:K46)</f>
        <v/>
      </c>
      <c r="K39" s="149" t="str">
        <f>IF(B39="","",'FORM. DE INSPEÇÃO'!N46)</f>
        <v/>
      </c>
      <c r="L39" s="149" t="str">
        <f>IF(B39="","",'FORM. DE INSPEÇÃO'!P46)</f>
        <v/>
      </c>
      <c r="M39" s="150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3"/>
        <v/>
      </c>
      <c r="C40" s="21" t="str">
        <f t="shared" si="4"/>
        <v/>
      </c>
      <c r="D40" s="21" t="str">
        <f t="shared" si="5"/>
        <v/>
      </c>
      <c r="E40" s="21" t="str">
        <f>'FORM. DE INSPEÇÃO'!L47</f>
        <v/>
      </c>
      <c r="F40" s="21" t="str">
        <f>'FORM. DE INSPEÇÃO'!M47</f>
        <v/>
      </c>
      <c r="G40" s="22" t="str">
        <f>IF(F40="","",'FORM. DE INSPEÇÃO'!G47&amp;"-"&amp;'FORM. DE INSPEÇÃO'!E47)</f>
        <v/>
      </c>
      <c r="H40" s="149" t="str">
        <f>IF(B40="","",'FORM. DE INSPEÇÃO'!R47)</f>
        <v/>
      </c>
      <c r="I40" s="149" t="str">
        <f>IF(B40="","",'FORM. DE INSPEÇÃO'!A47)</f>
        <v/>
      </c>
      <c r="J40" s="149" t="str">
        <f>IF(B40="","",'FORM. DE INSPEÇÃO'!J47:K47)</f>
        <v/>
      </c>
      <c r="K40" s="149" t="str">
        <f>IF(B40="","",'FORM. DE INSPEÇÃO'!N47)</f>
        <v/>
      </c>
      <c r="L40" s="149" t="str">
        <f>IF(B40="","",'FORM. DE INSPEÇÃO'!P47)</f>
        <v/>
      </c>
      <c r="M40" s="150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3"/>
        <v/>
      </c>
      <c r="C41" s="21" t="str">
        <f t="shared" si="4"/>
        <v/>
      </c>
      <c r="D41" s="21" t="str">
        <f t="shared" si="5"/>
        <v/>
      </c>
      <c r="E41" s="21" t="str">
        <f>'FORM. DE INSPEÇÃO'!L48</f>
        <v/>
      </c>
      <c r="F41" s="21" t="str">
        <f>'FORM. DE INSPEÇÃO'!M48</f>
        <v/>
      </c>
      <c r="G41" s="22" t="str">
        <f>IF(F41="","",'FORM. DE INSPEÇÃO'!G48&amp;"-"&amp;'FORM. DE INSPEÇÃO'!E48)</f>
        <v/>
      </c>
      <c r="H41" s="149" t="str">
        <f>IF(B41="","",'FORM. DE INSPEÇÃO'!R48)</f>
        <v/>
      </c>
      <c r="I41" s="149" t="str">
        <f>IF(B41="","",'FORM. DE INSPEÇÃO'!A48)</f>
        <v/>
      </c>
      <c r="J41" s="149" t="str">
        <f>IF(B41="","",'FORM. DE INSPEÇÃO'!J48:K48)</f>
        <v/>
      </c>
      <c r="K41" s="149" t="str">
        <f>IF(B41="","",'FORM. DE INSPEÇÃO'!N48)</f>
        <v/>
      </c>
      <c r="L41" s="149" t="str">
        <f>IF(B41="","",'FORM. DE INSPEÇÃO'!P48)</f>
        <v/>
      </c>
      <c r="M41" s="150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3"/>
        <v/>
      </c>
      <c r="C42" s="21" t="str">
        <f t="shared" si="4"/>
        <v/>
      </c>
      <c r="D42" s="21" t="str">
        <f t="shared" si="5"/>
        <v/>
      </c>
      <c r="E42" s="21" t="str">
        <f>'FORM. DE INSPEÇÃO'!L49</f>
        <v/>
      </c>
      <c r="F42" s="21" t="str">
        <f>'FORM. DE INSPEÇÃO'!M49</f>
        <v/>
      </c>
      <c r="G42" s="22" t="str">
        <f>IF(F42="","",'FORM. DE INSPEÇÃO'!G49&amp;"-"&amp;'FORM. DE INSPEÇÃO'!E49)</f>
        <v/>
      </c>
      <c r="H42" s="149" t="str">
        <f>IF(B42="","",'FORM. DE INSPEÇÃO'!R49)</f>
        <v/>
      </c>
      <c r="I42" s="149" t="str">
        <f>IF(B42="","",'FORM. DE INSPEÇÃO'!A49)</f>
        <v/>
      </c>
      <c r="J42" s="149" t="str">
        <f>IF(B42="","",'FORM. DE INSPEÇÃO'!J49:K49)</f>
        <v/>
      </c>
      <c r="K42" s="149" t="str">
        <f>IF(B42="","",'FORM. DE INSPEÇÃO'!N49)</f>
        <v/>
      </c>
      <c r="L42" s="149" t="str">
        <f>IF(B42="","",'FORM. DE INSPEÇÃO'!P49)</f>
        <v/>
      </c>
      <c r="M42" s="150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3"/>
        <v/>
      </c>
      <c r="C43" s="21" t="str">
        <f t="shared" si="4"/>
        <v/>
      </c>
      <c r="D43" s="21" t="str">
        <f t="shared" si="5"/>
        <v/>
      </c>
      <c r="E43" s="21" t="str">
        <f>'FORM. DE INSPEÇÃO'!L50</f>
        <v/>
      </c>
      <c r="F43" s="21" t="str">
        <f>'FORM. DE INSPEÇÃO'!M50</f>
        <v/>
      </c>
      <c r="G43" s="22" t="str">
        <f>IF(F43="","",'FORM. DE INSPEÇÃO'!G50&amp;"-"&amp;'FORM. DE INSPEÇÃO'!E50)</f>
        <v/>
      </c>
      <c r="H43" s="149" t="str">
        <f>IF(B43="","",'FORM. DE INSPEÇÃO'!R50)</f>
        <v/>
      </c>
      <c r="I43" s="149" t="str">
        <f>IF(B43="","",'FORM. DE INSPEÇÃO'!A50)</f>
        <v/>
      </c>
      <c r="J43" s="149" t="str">
        <f>IF(B43="","",'FORM. DE INSPEÇÃO'!J50:K50)</f>
        <v/>
      </c>
      <c r="K43" s="149" t="str">
        <f>IF(B43="","",'FORM. DE INSPEÇÃO'!N50)</f>
        <v/>
      </c>
      <c r="L43" s="149" t="str">
        <f>IF(B43="","",'FORM. DE INSPEÇÃO'!P50)</f>
        <v/>
      </c>
      <c r="M43" s="150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3"/>
        <v/>
      </c>
      <c r="C44" s="21" t="str">
        <f t="shared" si="4"/>
        <v/>
      </c>
      <c r="D44" s="21" t="str">
        <f t="shared" si="5"/>
        <v/>
      </c>
      <c r="E44" s="21" t="str">
        <f>'FORM. DE INSPEÇÃO'!L51</f>
        <v/>
      </c>
      <c r="F44" s="21" t="str">
        <f>'FORM. DE INSPEÇÃO'!M51</f>
        <v/>
      </c>
      <c r="G44" s="22" t="str">
        <f>IF(F44="","",'FORM. DE INSPEÇÃO'!G51&amp;"-"&amp;'FORM. DE INSPEÇÃO'!E51)</f>
        <v/>
      </c>
      <c r="H44" s="149" t="str">
        <f>IF(B44="","",'FORM. DE INSPEÇÃO'!R51)</f>
        <v/>
      </c>
      <c r="I44" s="149" t="str">
        <f>IF(B44="","",'FORM. DE INSPEÇÃO'!A51)</f>
        <v/>
      </c>
      <c r="J44" s="149" t="str">
        <f>IF(B44="","",'FORM. DE INSPEÇÃO'!J51:K51)</f>
        <v/>
      </c>
      <c r="K44" s="149" t="str">
        <f>IF(B44="","",'FORM. DE INSPEÇÃO'!N51)</f>
        <v/>
      </c>
      <c r="L44" s="149" t="str">
        <f>IF(B44="","",'FORM. DE INSPEÇÃO'!P51)</f>
        <v/>
      </c>
      <c r="M44" s="150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3"/>
        <v/>
      </c>
      <c r="C45" s="21" t="str">
        <f t="shared" si="4"/>
        <v/>
      </c>
      <c r="D45" s="21" t="str">
        <f t="shared" si="5"/>
        <v/>
      </c>
      <c r="E45" s="21" t="str">
        <f>'FORM. DE INSPEÇÃO'!L52</f>
        <v/>
      </c>
      <c r="F45" s="21" t="str">
        <f>'FORM. DE INSPEÇÃO'!M52</f>
        <v/>
      </c>
      <c r="G45" s="22" t="str">
        <f>IF(F45="","",'FORM. DE INSPEÇÃO'!G52&amp;"-"&amp;'FORM. DE INSPEÇÃO'!E52)</f>
        <v/>
      </c>
      <c r="H45" s="149" t="str">
        <f>IF(B45="","",'FORM. DE INSPEÇÃO'!R52)</f>
        <v/>
      </c>
      <c r="I45" s="149" t="str">
        <f>IF(B45="","",'FORM. DE INSPEÇÃO'!A52)</f>
        <v/>
      </c>
      <c r="J45" s="149" t="str">
        <f>IF(B45="","",'FORM. DE INSPEÇÃO'!J52:K52)</f>
        <v/>
      </c>
      <c r="K45" s="149" t="str">
        <f>IF(B45="","",'FORM. DE INSPEÇÃO'!N52)</f>
        <v/>
      </c>
      <c r="L45" s="149" t="str">
        <f>IF(B45="","",'FORM. DE INSPEÇÃO'!P52)</f>
        <v/>
      </c>
      <c r="M45" s="150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3"/>
        <v/>
      </c>
      <c r="C46" s="21" t="str">
        <f t="shared" si="4"/>
        <v/>
      </c>
      <c r="D46" s="21" t="str">
        <f t="shared" si="5"/>
        <v/>
      </c>
      <c r="E46" s="21" t="str">
        <f>'FORM. DE INSPEÇÃO'!L53</f>
        <v/>
      </c>
      <c r="F46" s="21" t="str">
        <f>'FORM. DE INSPEÇÃO'!M53</f>
        <v/>
      </c>
      <c r="G46" s="22" t="str">
        <f>IF(F46="","",'FORM. DE INSPEÇÃO'!G53&amp;"-"&amp;'FORM. DE INSPEÇÃO'!E53)</f>
        <v/>
      </c>
      <c r="H46" s="149" t="str">
        <f>IF(B46="","",'FORM. DE INSPEÇÃO'!R53)</f>
        <v/>
      </c>
      <c r="I46" s="149" t="str">
        <f>IF(B46="","",'FORM. DE INSPEÇÃO'!A53)</f>
        <v/>
      </c>
      <c r="J46" s="149" t="str">
        <f>IF(B46="","",'FORM. DE INSPEÇÃO'!J53:K53)</f>
        <v/>
      </c>
      <c r="K46" s="149" t="str">
        <f>IF(B46="","",'FORM. DE INSPEÇÃO'!N53)</f>
        <v/>
      </c>
      <c r="L46" s="149" t="str">
        <f>IF(B46="","",'FORM. DE INSPEÇÃO'!P53)</f>
        <v/>
      </c>
      <c r="M46" s="150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3"/>
        <v/>
      </c>
      <c r="C47" s="21" t="str">
        <f t="shared" si="4"/>
        <v/>
      </c>
      <c r="D47" s="21" t="str">
        <f t="shared" si="5"/>
        <v/>
      </c>
      <c r="E47" s="21" t="str">
        <f>'FORM. DE INSPEÇÃO'!L54</f>
        <v/>
      </c>
      <c r="F47" s="21" t="str">
        <f>'FORM. DE INSPEÇÃO'!M54</f>
        <v/>
      </c>
      <c r="G47" s="22" t="str">
        <f>IF(F47="","",'FORM. DE INSPEÇÃO'!G54&amp;"-"&amp;'FORM. DE INSPEÇÃO'!E54)</f>
        <v/>
      </c>
      <c r="H47" s="149" t="str">
        <f>IF(B47="","",'FORM. DE INSPEÇÃO'!R54)</f>
        <v/>
      </c>
      <c r="I47" s="149" t="str">
        <f>IF(B47="","",'FORM. DE INSPEÇÃO'!A54)</f>
        <v/>
      </c>
      <c r="J47" s="149" t="str">
        <f>IF(B47="","",'FORM. DE INSPEÇÃO'!J54:K54)</f>
        <v/>
      </c>
      <c r="K47" s="149" t="str">
        <f>IF(B47="","",'FORM. DE INSPEÇÃO'!N54)</f>
        <v/>
      </c>
      <c r="L47" s="149" t="str">
        <f>IF(B47="","",'FORM. DE INSPEÇÃO'!P54)</f>
        <v/>
      </c>
      <c r="M47" s="150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3"/>
        <v/>
      </c>
      <c r="C48" s="21" t="str">
        <f t="shared" si="4"/>
        <v/>
      </c>
      <c r="D48" s="21" t="str">
        <f t="shared" si="5"/>
        <v/>
      </c>
      <c r="E48" s="21" t="str">
        <f>'FORM. DE INSPEÇÃO'!L55</f>
        <v/>
      </c>
      <c r="F48" s="21" t="str">
        <f>'FORM. DE INSPEÇÃO'!M55</f>
        <v/>
      </c>
      <c r="G48" s="22" t="str">
        <f>IF(F48="","",'FORM. DE INSPEÇÃO'!G55&amp;"-"&amp;'FORM. DE INSPEÇÃO'!E55)</f>
        <v/>
      </c>
      <c r="H48" s="149" t="str">
        <f>IF(B48="","",'FORM. DE INSPEÇÃO'!R55)</f>
        <v/>
      </c>
      <c r="I48" s="149" t="str">
        <f>IF(B48="","",'FORM. DE INSPEÇÃO'!A55)</f>
        <v/>
      </c>
      <c r="J48" s="149" t="str">
        <f>IF(B48="","",'FORM. DE INSPEÇÃO'!J55:K55)</f>
        <v/>
      </c>
      <c r="K48" s="149" t="str">
        <f>IF(B48="","",'FORM. DE INSPEÇÃO'!N55)</f>
        <v/>
      </c>
      <c r="L48" s="149" t="str">
        <f>IF(B48="","",'FORM. DE INSPEÇÃO'!P55)</f>
        <v/>
      </c>
      <c r="M48" s="150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3"/>
        <v/>
      </c>
      <c r="C49" s="21" t="str">
        <f t="shared" si="4"/>
        <v/>
      </c>
      <c r="D49" s="21" t="str">
        <f t="shared" si="5"/>
        <v/>
      </c>
      <c r="E49" s="21" t="str">
        <f>'FORM. DE INSPEÇÃO'!L56</f>
        <v/>
      </c>
      <c r="F49" s="21" t="str">
        <f>'FORM. DE INSPEÇÃO'!M56</f>
        <v/>
      </c>
      <c r="G49" s="22" t="str">
        <f>IF(F49="","",'FORM. DE INSPEÇÃO'!G56&amp;"-"&amp;'FORM. DE INSPEÇÃO'!E56)</f>
        <v/>
      </c>
      <c r="H49" s="149" t="str">
        <f>IF(B49="","",'FORM. DE INSPEÇÃO'!R56)</f>
        <v/>
      </c>
      <c r="I49" s="149" t="str">
        <f>IF(B49="","",'FORM. DE INSPEÇÃO'!A56)</f>
        <v/>
      </c>
      <c r="J49" s="149" t="str">
        <f>IF(B49="","",'FORM. DE INSPEÇÃO'!J56:K56)</f>
        <v/>
      </c>
      <c r="K49" s="149" t="str">
        <f>IF(B49="","",'FORM. DE INSPEÇÃO'!N56)</f>
        <v/>
      </c>
      <c r="L49" s="149" t="str">
        <f>IF(B49="","",'FORM. DE INSPEÇÃO'!P56)</f>
        <v/>
      </c>
      <c r="M49" s="150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3"/>
        <v/>
      </c>
      <c r="C50" s="21" t="str">
        <f t="shared" si="4"/>
        <v/>
      </c>
      <c r="D50" s="21" t="str">
        <f t="shared" si="5"/>
        <v/>
      </c>
      <c r="E50" s="21" t="str">
        <f>'FORM. DE INSPEÇÃO'!L57</f>
        <v/>
      </c>
      <c r="F50" s="21" t="str">
        <f>'FORM. DE INSPEÇÃO'!M57</f>
        <v/>
      </c>
      <c r="G50" s="22" t="str">
        <f>IF(F50="","",'FORM. DE INSPEÇÃO'!G57&amp;"-"&amp;'FORM. DE INSPEÇÃO'!E57)</f>
        <v/>
      </c>
      <c r="H50" s="149" t="str">
        <f>IF(B50="","",'FORM. DE INSPEÇÃO'!R57)</f>
        <v/>
      </c>
      <c r="I50" s="149" t="str">
        <f>IF(B50="","",'FORM. DE INSPEÇÃO'!A57)</f>
        <v/>
      </c>
      <c r="J50" s="149" t="str">
        <f>IF(B50="","",'FORM. DE INSPEÇÃO'!J57:K57)</f>
        <v/>
      </c>
      <c r="K50" s="149" t="str">
        <f>IF(B50="","",'FORM. DE INSPEÇÃO'!N57)</f>
        <v/>
      </c>
      <c r="L50" s="149" t="str">
        <f>IF(B50="","",'FORM. DE INSPEÇÃO'!P57)</f>
        <v/>
      </c>
      <c r="M50" s="150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3"/>
        <v/>
      </c>
      <c r="C51" s="21" t="str">
        <f t="shared" si="4"/>
        <v/>
      </c>
      <c r="D51" s="21" t="str">
        <f t="shared" si="5"/>
        <v/>
      </c>
      <c r="E51" s="21" t="str">
        <f>'FORM. DE INSPEÇÃO'!L58</f>
        <v/>
      </c>
      <c r="F51" s="21" t="str">
        <f>'FORM. DE INSPEÇÃO'!M58</f>
        <v/>
      </c>
      <c r="G51" s="22" t="str">
        <f>IF(F51="","",'FORM. DE INSPEÇÃO'!G58&amp;"-"&amp;'FORM. DE INSPEÇÃO'!E58)</f>
        <v/>
      </c>
      <c r="H51" s="149" t="str">
        <f>IF(B51="","",'FORM. DE INSPEÇÃO'!R58)</f>
        <v/>
      </c>
      <c r="I51" s="149" t="str">
        <f>IF(B51="","",'FORM. DE INSPEÇÃO'!A58)</f>
        <v/>
      </c>
      <c r="J51" s="149" t="str">
        <f>IF(B51="","",'FORM. DE INSPEÇÃO'!J58:K58)</f>
        <v/>
      </c>
      <c r="K51" s="149" t="str">
        <f>IF(B51="","",'FORM. DE INSPEÇÃO'!N58)</f>
        <v/>
      </c>
      <c r="L51" s="149" t="str">
        <f>IF(B51="","",'FORM. DE INSPEÇÃO'!P58)</f>
        <v/>
      </c>
      <c r="M51" s="150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3"/>
        <v/>
      </c>
      <c r="C52" s="21" t="str">
        <f t="shared" si="4"/>
        <v/>
      </c>
      <c r="D52" s="21" t="str">
        <f t="shared" si="5"/>
        <v/>
      </c>
      <c r="E52" s="21" t="str">
        <f>'FORM. DE INSPEÇÃO'!L59</f>
        <v/>
      </c>
      <c r="F52" s="21" t="str">
        <f>'FORM. DE INSPEÇÃO'!M59</f>
        <v/>
      </c>
      <c r="G52" s="22" t="str">
        <f>IF(F52="","",'FORM. DE INSPEÇÃO'!G59&amp;"-"&amp;'FORM. DE INSPEÇÃO'!E59)</f>
        <v/>
      </c>
      <c r="H52" s="149" t="str">
        <f>IF(B52="","",'FORM. DE INSPEÇÃO'!R59)</f>
        <v/>
      </c>
      <c r="I52" s="149" t="str">
        <f>IF(B52="","",'FORM. DE INSPEÇÃO'!A59)</f>
        <v/>
      </c>
      <c r="J52" s="149" t="str">
        <f>IF(B52="","",'FORM. DE INSPEÇÃO'!J59:K59)</f>
        <v/>
      </c>
      <c r="K52" s="149" t="str">
        <f>IF(B52="","",'FORM. DE INSPEÇÃO'!N59)</f>
        <v/>
      </c>
      <c r="L52" s="149" t="str">
        <f>IF(B52="","",'FORM. DE INSPEÇÃO'!P59)</f>
        <v/>
      </c>
      <c r="M52" s="150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3"/>
        <v/>
      </c>
      <c r="C53" s="21" t="str">
        <f t="shared" si="4"/>
        <v/>
      </c>
      <c r="D53" s="21" t="str">
        <f t="shared" si="5"/>
        <v/>
      </c>
      <c r="E53" s="21" t="str">
        <f>'FORM. DE INSPEÇÃO'!L60</f>
        <v/>
      </c>
      <c r="F53" s="21" t="str">
        <f>'FORM. DE INSPEÇÃO'!M60</f>
        <v/>
      </c>
      <c r="G53" s="22" t="str">
        <f>IF(F53="","",'FORM. DE INSPEÇÃO'!G60&amp;"-"&amp;'FORM. DE INSPEÇÃO'!E60)</f>
        <v/>
      </c>
      <c r="H53" s="149" t="str">
        <f>IF(B53="","",'FORM. DE INSPEÇÃO'!R60)</f>
        <v/>
      </c>
      <c r="I53" s="149" t="str">
        <f>IF(B53="","",'FORM. DE INSPEÇÃO'!A60)</f>
        <v/>
      </c>
      <c r="J53" s="149" t="str">
        <f>IF(B53="","",'FORM. DE INSPEÇÃO'!J60:K60)</f>
        <v/>
      </c>
      <c r="K53" s="149" t="str">
        <f>IF(B53="","",'FORM. DE INSPEÇÃO'!N60)</f>
        <v/>
      </c>
      <c r="L53" s="149" t="str">
        <f>IF(B53="","",'FORM. DE INSPEÇÃO'!P60)</f>
        <v/>
      </c>
      <c r="M53" s="150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3"/>
        <v/>
      </c>
      <c r="C54" s="21" t="str">
        <f t="shared" si="4"/>
        <v/>
      </c>
      <c r="D54" s="21" t="str">
        <f t="shared" si="5"/>
        <v/>
      </c>
      <c r="E54" s="21" t="str">
        <f>'FORM. DE INSPEÇÃO'!L61</f>
        <v/>
      </c>
      <c r="F54" s="21" t="str">
        <f>'FORM. DE INSPEÇÃO'!M61</f>
        <v/>
      </c>
      <c r="G54" s="22" t="str">
        <f>IF(F54="","",'FORM. DE INSPEÇÃO'!G61&amp;"-"&amp;'FORM. DE INSPEÇÃO'!E61)</f>
        <v/>
      </c>
      <c r="H54" s="149" t="str">
        <f>IF(B54="","",'FORM. DE INSPEÇÃO'!R61)</f>
        <v/>
      </c>
      <c r="I54" s="149" t="str">
        <f>IF(B54="","",'FORM. DE INSPEÇÃO'!A61)</f>
        <v/>
      </c>
      <c r="J54" s="149" t="str">
        <f>IF(B54="","",'FORM. DE INSPEÇÃO'!J61:K61)</f>
        <v/>
      </c>
      <c r="K54" s="149" t="str">
        <f>IF(B54="","",'FORM. DE INSPEÇÃO'!N61)</f>
        <v/>
      </c>
      <c r="L54" s="149" t="str">
        <f>IF(B54="","",'FORM. DE INSPEÇÃO'!P61)</f>
        <v/>
      </c>
      <c r="M54" s="150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3"/>
        <v/>
      </c>
      <c r="C55" s="21" t="str">
        <f t="shared" si="4"/>
        <v/>
      </c>
      <c r="D55" s="21" t="str">
        <f t="shared" si="5"/>
        <v/>
      </c>
      <c r="E55" s="21" t="str">
        <f>'FORM. DE INSPEÇÃO'!L62</f>
        <v/>
      </c>
      <c r="F55" s="21" t="str">
        <f>'FORM. DE INSPEÇÃO'!M62</f>
        <v/>
      </c>
      <c r="G55" s="22" t="str">
        <f>IF(F55="","",'FORM. DE INSPEÇÃO'!G62&amp;"-"&amp;'FORM. DE INSPEÇÃO'!E62)</f>
        <v/>
      </c>
      <c r="H55" s="149" t="str">
        <f>IF(B55="","",'FORM. DE INSPEÇÃO'!R62)</f>
        <v/>
      </c>
      <c r="I55" s="149" t="str">
        <f>IF(B55="","",'FORM. DE INSPEÇÃO'!A62)</f>
        <v/>
      </c>
      <c r="J55" s="149" t="str">
        <f>IF(B55="","",'FORM. DE INSPEÇÃO'!J62:K62)</f>
        <v/>
      </c>
      <c r="K55" s="149" t="str">
        <f>IF(B55="","",'FORM. DE INSPEÇÃO'!N62)</f>
        <v/>
      </c>
      <c r="L55" s="149" t="str">
        <f>IF(B55="","",'FORM. DE INSPEÇÃO'!P62)</f>
        <v/>
      </c>
      <c r="M55" s="150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3"/>
        <v/>
      </c>
      <c r="C56" s="21" t="str">
        <f t="shared" si="4"/>
        <v/>
      </c>
      <c r="D56" s="21" t="str">
        <f t="shared" si="5"/>
        <v/>
      </c>
      <c r="E56" s="21" t="str">
        <f>'FORM. DE INSPEÇÃO'!L63</f>
        <v/>
      </c>
      <c r="F56" s="21" t="str">
        <f>'FORM. DE INSPEÇÃO'!M63</f>
        <v/>
      </c>
      <c r="G56" s="22" t="str">
        <f>IF(F56="","",'FORM. DE INSPEÇÃO'!G63&amp;"-"&amp;'FORM. DE INSPEÇÃO'!E63)</f>
        <v/>
      </c>
      <c r="H56" s="149" t="str">
        <f>IF(B56="","",'FORM. DE INSPEÇÃO'!R63)</f>
        <v/>
      </c>
      <c r="I56" s="149" t="str">
        <f>IF(B56="","",'FORM. DE INSPEÇÃO'!A63)</f>
        <v/>
      </c>
      <c r="J56" s="149" t="str">
        <f>IF(B56="","",'FORM. DE INSPEÇÃO'!J63:K63)</f>
        <v/>
      </c>
      <c r="K56" s="149" t="str">
        <f>IF(B56="","",'FORM. DE INSPEÇÃO'!N63)</f>
        <v/>
      </c>
      <c r="L56" s="149" t="str">
        <f>IF(B56="","",'FORM. DE INSPEÇÃO'!P63)</f>
        <v/>
      </c>
      <c r="M56" s="150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3"/>
        <v/>
      </c>
      <c r="C57" s="21" t="str">
        <f t="shared" si="4"/>
        <v/>
      </c>
      <c r="D57" s="21" t="str">
        <f t="shared" si="5"/>
        <v/>
      </c>
      <c r="E57" s="21" t="str">
        <f>'FORM. DE INSPEÇÃO'!L64</f>
        <v/>
      </c>
      <c r="F57" s="21" t="str">
        <f>'FORM. DE INSPEÇÃO'!M64</f>
        <v/>
      </c>
      <c r="G57" s="22" t="str">
        <f>IF(F57="","",'FORM. DE INSPEÇÃO'!G64&amp;"-"&amp;'FORM. DE INSPEÇÃO'!E64)</f>
        <v/>
      </c>
      <c r="H57" s="149" t="str">
        <f>IF(B57="","",'FORM. DE INSPEÇÃO'!R64)</f>
        <v/>
      </c>
      <c r="I57" s="149" t="str">
        <f>IF(B57="","",'FORM. DE INSPEÇÃO'!A64)</f>
        <v/>
      </c>
      <c r="J57" s="149" t="str">
        <f>IF(B57="","",'FORM. DE INSPEÇÃO'!J64:K64)</f>
        <v/>
      </c>
      <c r="K57" s="149" t="str">
        <f>IF(B57="","",'FORM. DE INSPEÇÃO'!N64)</f>
        <v/>
      </c>
      <c r="L57" s="149" t="str">
        <f>IF(B57="","",'FORM. DE INSPEÇÃO'!P64)</f>
        <v/>
      </c>
      <c r="M57" s="150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3"/>
        <v/>
      </c>
      <c r="C58" s="21" t="str">
        <f t="shared" si="4"/>
        <v/>
      </c>
      <c r="D58" s="21" t="str">
        <f t="shared" si="5"/>
        <v/>
      </c>
      <c r="E58" s="21" t="str">
        <f>'FORM. DE INSPEÇÃO'!L65</f>
        <v/>
      </c>
      <c r="F58" s="21" t="str">
        <f>'FORM. DE INSPEÇÃO'!M65</f>
        <v/>
      </c>
      <c r="G58" s="22" t="str">
        <f>IF(F58="","",'FORM. DE INSPEÇÃO'!G65&amp;"-"&amp;'FORM. DE INSPEÇÃO'!E65)</f>
        <v/>
      </c>
      <c r="H58" s="149" t="str">
        <f>IF(B58="","",'FORM. DE INSPEÇÃO'!R65)</f>
        <v/>
      </c>
      <c r="I58" s="149" t="str">
        <f>IF(B58="","",'FORM. DE INSPEÇÃO'!A65)</f>
        <v/>
      </c>
      <c r="J58" s="149" t="str">
        <f>IF(B58="","",'FORM. DE INSPEÇÃO'!J65:K65)</f>
        <v/>
      </c>
      <c r="K58" s="149" t="str">
        <f>IF(B58="","",'FORM. DE INSPEÇÃO'!N65)</f>
        <v/>
      </c>
      <c r="L58" s="149" t="str">
        <f>IF(B58="","",'FORM. DE INSPEÇÃO'!P65)</f>
        <v/>
      </c>
      <c r="M58" s="150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3"/>
        <v/>
      </c>
      <c r="C59" s="21" t="str">
        <f t="shared" si="4"/>
        <v/>
      </c>
      <c r="D59" s="21" t="str">
        <f t="shared" si="5"/>
        <v/>
      </c>
      <c r="E59" s="21" t="str">
        <f>'FORM. DE INSPEÇÃO'!L66</f>
        <v/>
      </c>
      <c r="F59" s="21" t="str">
        <f>'FORM. DE INSPEÇÃO'!M66</f>
        <v/>
      </c>
      <c r="G59" s="22" t="str">
        <f>IF(F59="","",'FORM. DE INSPEÇÃO'!G66&amp;"-"&amp;'FORM. DE INSPEÇÃO'!E66)</f>
        <v/>
      </c>
      <c r="H59" s="149" t="str">
        <f>IF(B59="","",'FORM. DE INSPEÇÃO'!R66)</f>
        <v/>
      </c>
      <c r="I59" s="149" t="str">
        <f>IF(B59="","",'FORM. DE INSPEÇÃO'!A66)</f>
        <v/>
      </c>
      <c r="J59" s="149" t="str">
        <f>IF(B59="","",'FORM. DE INSPEÇÃO'!J66:K66)</f>
        <v/>
      </c>
      <c r="K59" s="149" t="str">
        <f>IF(B59="","",'FORM. DE INSPEÇÃO'!N66)</f>
        <v/>
      </c>
      <c r="L59" s="149" t="str">
        <f>IF(B59="","",'FORM. DE INSPEÇÃO'!P66)</f>
        <v/>
      </c>
      <c r="M59" s="150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3"/>
        <v/>
      </c>
      <c r="C60" s="21" t="str">
        <f t="shared" si="4"/>
        <v/>
      </c>
      <c r="D60" s="21" t="str">
        <f t="shared" si="5"/>
        <v/>
      </c>
      <c r="E60" s="21" t="str">
        <f>'FORM. DE INSPEÇÃO'!L67</f>
        <v/>
      </c>
      <c r="F60" s="21" t="str">
        <f>'FORM. DE INSPEÇÃO'!M67</f>
        <v/>
      </c>
      <c r="G60" s="22" t="str">
        <f>IF(F60="","",'FORM. DE INSPEÇÃO'!G67&amp;"-"&amp;'FORM. DE INSPEÇÃO'!E67)</f>
        <v/>
      </c>
      <c r="H60" s="149" t="str">
        <f>IF(B60="","",'FORM. DE INSPEÇÃO'!R67)</f>
        <v/>
      </c>
      <c r="I60" s="149" t="str">
        <f>IF(B60="","",'FORM. DE INSPEÇÃO'!A67)</f>
        <v/>
      </c>
      <c r="J60" s="149" t="str">
        <f>IF(B60="","",'FORM. DE INSPEÇÃO'!J67:K67)</f>
        <v/>
      </c>
      <c r="K60" s="149" t="str">
        <f>IF(B60="","",'FORM. DE INSPEÇÃO'!N67)</f>
        <v/>
      </c>
      <c r="L60" s="149" t="str">
        <f>IF(B60="","",'FORM. DE INSPEÇÃO'!P67)</f>
        <v/>
      </c>
      <c r="M60" s="150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3"/>
        <v/>
      </c>
      <c r="C61" s="21" t="str">
        <f t="shared" si="4"/>
        <v/>
      </c>
      <c r="D61" s="21" t="str">
        <f t="shared" si="5"/>
        <v/>
      </c>
      <c r="E61" s="21" t="str">
        <f>'FORM. DE INSPEÇÃO'!L68</f>
        <v/>
      </c>
      <c r="F61" s="21" t="str">
        <f>'FORM. DE INSPEÇÃO'!M68</f>
        <v/>
      </c>
      <c r="G61" s="22" t="str">
        <f>IF(F61="","",'FORM. DE INSPEÇÃO'!G68&amp;"-"&amp;'FORM. DE INSPEÇÃO'!E68)</f>
        <v/>
      </c>
      <c r="H61" s="149" t="str">
        <f>IF(B61="","",'FORM. DE INSPEÇÃO'!R68)</f>
        <v/>
      </c>
      <c r="I61" s="149" t="str">
        <f>IF(B61="","",'FORM. DE INSPEÇÃO'!A68)</f>
        <v/>
      </c>
      <c r="J61" s="149" t="str">
        <f>IF(B61="","",'FORM. DE INSPEÇÃO'!J68:K68)</f>
        <v/>
      </c>
      <c r="K61" s="149" t="str">
        <f>IF(B61="","",'FORM. DE INSPEÇÃO'!N68)</f>
        <v/>
      </c>
      <c r="L61" s="149" t="str">
        <f>IF(B61="","",'FORM. DE INSPEÇÃO'!P68)</f>
        <v/>
      </c>
      <c r="M61" s="150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3"/>
        <v/>
      </c>
      <c r="C62" s="21" t="str">
        <f t="shared" si="4"/>
        <v/>
      </c>
      <c r="D62" s="21" t="str">
        <f t="shared" si="5"/>
        <v/>
      </c>
      <c r="E62" s="21" t="str">
        <f>'FORM. DE INSPEÇÃO'!L69</f>
        <v/>
      </c>
      <c r="F62" s="21" t="str">
        <f>'FORM. DE INSPEÇÃO'!M69</f>
        <v/>
      </c>
      <c r="G62" s="22" t="str">
        <f>IF(F62="","",'FORM. DE INSPEÇÃO'!G69&amp;"-"&amp;'FORM. DE INSPEÇÃO'!E69)</f>
        <v/>
      </c>
      <c r="H62" s="149" t="str">
        <f>IF(B62="","",'FORM. DE INSPEÇÃO'!R69)</f>
        <v/>
      </c>
      <c r="I62" s="149" t="str">
        <f>IF(B62="","",'FORM. DE INSPEÇÃO'!A69)</f>
        <v/>
      </c>
      <c r="J62" s="149" t="str">
        <f>IF(B62="","",'FORM. DE INSPEÇÃO'!J69:K69)</f>
        <v/>
      </c>
      <c r="K62" s="149" t="str">
        <f>IF(B62="","",'FORM. DE INSPEÇÃO'!N69)</f>
        <v/>
      </c>
      <c r="L62" s="149" t="str">
        <f>IF(B62="","",'FORM. DE INSPEÇÃO'!P69)</f>
        <v/>
      </c>
      <c r="M62" s="150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3"/>
        <v/>
      </c>
      <c r="C63" s="21" t="str">
        <f t="shared" si="4"/>
        <v/>
      </c>
      <c r="D63" s="21" t="str">
        <f t="shared" si="5"/>
        <v/>
      </c>
      <c r="E63" s="21" t="str">
        <f>'FORM. DE INSPEÇÃO'!L70</f>
        <v/>
      </c>
      <c r="F63" s="21" t="str">
        <f>'FORM. DE INSPEÇÃO'!M70</f>
        <v/>
      </c>
      <c r="G63" s="22" t="str">
        <f>IF(F63="","",'FORM. DE INSPEÇÃO'!G70&amp;"-"&amp;'FORM. DE INSPEÇÃO'!E70)</f>
        <v/>
      </c>
      <c r="H63" s="149" t="str">
        <f>IF(B63="","",'FORM. DE INSPEÇÃO'!R70)</f>
        <v/>
      </c>
      <c r="I63" s="149" t="str">
        <f>IF(B63="","",'FORM. DE INSPEÇÃO'!A70)</f>
        <v/>
      </c>
      <c r="J63" s="149" t="str">
        <f>IF(B63="","",'FORM. DE INSPEÇÃO'!J70:K70)</f>
        <v/>
      </c>
      <c r="K63" s="149" t="str">
        <f>IF(B63="","",'FORM. DE INSPEÇÃO'!N70)</f>
        <v/>
      </c>
      <c r="L63" s="149" t="str">
        <f>IF(B63="","",'FORM. DE INSPEÇÃO'!P70)</f>
        <v/>
      </c>
      <c r="M63" s="150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3"/>
        <v/>
      </c>
      <c r="C64" s="21" t="str">
        <f t="shared" si="4"/>
        <v/>
      </c>
      <c r="D64" s="21" t="str">
        <f t="shared" si="5"/>
        <v/>
      </c>
      <c r="E64" s="21" t="str">
        <f>'FORM. DE INSPEÇÃO'!L71</f>
        <v/>
      </c>
      <c r="F64" s="21" t="str">
        <f>'FORM. DE INSPEÇÃO'!M71</f>
        <v/>
      </c>
      <c r="G64" s="22" t="str">
        <f>IF(F64="","",'FORM. DE INSPEÇÃO'!G71&amp;"-"&amp;'FORM. DE INSPEÇÃO'!E71)</f>
        <v/>
      </c>
      <c r="H64" s="149" t="str">
        <f>IF(B64="","",'FORM. DE INSPEÇÃO'!R71)</f>
        <v/>
      </c>
      <c r="I64" s="149" t="str">
        <f>IF(B64="","",'FORM. DE INSPEÇÃO'!A71)</f>
        <v/>
      </c>
      <c r="J64" s="149" t="str">
        <f>IF(B64="","",'FORM. DE INSPEÇÃO'!J71:K71)</f>
        <v/>
      </c>
      <c r="K64" s="149" t="str">
        <f>IF(B64="","",'FORM. DE INSPEÇÃO'!N71)</f>
        <v/>
      </c>
      <c r="L64" s="149" t="str">
        <f>IF(B64="","",'FORM. DE INSPEÇÃO'!P71)</f>
        <v/>
      </c>
      <c r="M64" s="150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3"/>
        <v/>
      </c>
      <c r="C65" s="21" t="str">
        <f t="shared" si="4"/>
        <v/>
      </c>
      <c r="D65" s="21" t="str">
        <f t="shared" si="5"/>
        <v/>
      </c>
      <c r="E65" s="21" t="str">
        <f>'FORM. DE INSPEÇÃO'!L72</f>
        <v/>
      </c>
      <c r="F65" s="21" t="str">
        <f>'FORM. DE INSPEÇÃO'!M72</f>
        <v/>
      </c>
      <c r="G65" s="22" t="str">
        <f>IF(F65="","",'FORM. DE INSPEÇÃO'!G72&amp;"-"&amp;'FORM. DE INSPEÇÃO'!E72)</f>
        <v/>
      </c>
      <c r="H65" s="149" t="str">
        <f>IF(B65="","",'FORM. DE INSPEÇÃO'!R72)</f>
        <v/>
      </c>
      <c r="I65" s="149" t="str">
        <f>IF(B65="","",'FORM. DE INSPEÇÃO'!A72)</f>
        <v/>
      </c>
      <c r="J65" s="149" t="str">
        <f>IF(B65="","",'FORM. DE INSPEÇÃO'!J72:K72)</f>
        <v/>
      </c>
      <c r="K65" s="149" t="str">
        <f>IF(B65="","",'FORM. DE INSPEÇÃO'!N72)</f>
        <v/>
      </c>
      <c r="L65" s="149" t="str">
        <f>IF(B65="","",'FORM. DE INSPEÇÃO'!P72)</f>
        <v/>
      </c>
      <c r="M65" s="150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97" si="6">IF(E66="","","LT")</f>
        <v/>
      </c>
      <c r="C66" s="21" t="str">
        <f t="shared" ref="C66:C97" si="7">IF(E66="","",LEFT(E66,2))</f>
        <v/>
      </c>
      <c r="D66" s="21" t="str">
        <f t="shared" ref="D66:D97" si="8">B66&amp;C66</f>
        <v/>
      </c>
      <c r="E66" s="21" t="str">
        <f>'FORM. DE INSPEÇÃO'!L73</f>
        <v/>
      </c>
      <c r="F66" s="21" t="str">
        <f>'FORM. DE INSPEÇÃO'!M73</f>
        <v/>
      </c>
      <c r="G66" s="22" t="str">
        <f>IF(F66="","",'FORM. DE INSPEÇÃO'!G73&amp;"-"&amp;'FORM. DE INSPEÇÃO'!E73)</f>
        <v/>
      </c>
      <c r="H66" s="149" t="str">
        <f>IF(B66="","",'FORM. DE INSPEÇÃO'!R73)</f>
        <v/>
      </c>
      <c r="I66" s="149" t="str">
        <f>IF(B66="","",'FORM. DE INSPEÇÃO'!A73)</f>
        <v/>
      </c>
      <c r="J66" s="149" t="str">
        <f>IF(B66="","",'FORM. DE INSPEÇÃO'!J73:K73)</f>
        <v/>
      </c>
      <c r="K66" s="149" t="str">
        <f>IF(B66="","",'FORM. DE INSPEÇÃO'!N73)</f>
        <v/>
      </c>
      <c r="L66" s="149" t="str">
        <f>IF(B66="","",'FORM. DE INSPEÇÃO'!P73)</f>
        <v/>
      </c>
      <c r="M66" s="150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6"/>
        <v/>
      </c>
      <c r="C67" s="21" t="str">
        <f t="shared" si="7"/>
        <v/>
      </c>
      <c r="D67" s="21" t="str">
        <f t="shared" si="8"/>
        <v/>
      </c>
      <c r="E67" s="21" t="str">
        <f>'FORM. DE INSPEÇÃO'!L74</f>
        <v/>
      </c>
      <c r="F67" s="21" t="str">
        <f>'FORM. DE INSPEÇÃO'!M74</f>
        <v/>
      </c>
      <c r="G67" s="22" t="str">
        <f>IF(F67="","",'FORM. DE INSPEÇÃO'!G74&amp;"-"&amp;'FORM. DE INSPEÇÃO'!E74)</f>
        <v/>
      </c>
      <c r="H67" s="149" t="str">
        <f>IF(B67="","",'FORM. DE INSPEÇÃO'!R74)</f>
        <v/>
      </c>
      <c r="I67" s="149" t="str">
        <f>IF(B67="","",'FORM. DE INSPEÇÃO'!A74)</f>
        <v/>
      </c>
      <c r="J67" s="149" t="str">
        <f>IF(B67="","",'FORM. DE INSPEÇÃO'!J74:K74)</f>
        <v/>
      </c>
      <c r="K67" s="149" t="str">
        <f>IF(B67="","",'FORM. DE INSPEÇÃO'!N74)</f>
        <v/>
      </c>
      <c r="L67" s="149" t="str">
        <f>IF(B67="","",'FORM. DE INSPEÇÃO'!P74)</f>
        <v/>
      </c>
      <c r="M67" s="150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6"/>
        <v/>
      </c>
      <c r="C68" s="21" t="str">
        <f t="shared" si="7"/>
        <v/>
      </c>
      <c r="D68" s="21" t="str">
        <f t="shared" si="8"/>
        <v/>
      </c>
      <c r="E68" s="21" t="str">
        <f>'FORM. DE INSPEÇÃO'!L75</f>
        <v/>
      </c>
      <c r="F68" s="21" t="str">
        <f>'FORM. DE INSPEÇÃO'!M75</f>
        <v/>
      </c>
      <c r="G68" s="22" t="str">
        <f>IF(F68="","",'FORM. DE INSPEÇÃO'!G75&amp;"-"&amp;'FORM. DE INSPEÇÃO'!E75)</f>
        <v/>
      </c>
      <c r="H68" s="149" t="str">
        <f>IF(B68="","",'FORM. DE INSPEÇÃO'!R75)</f>
        <v/>
      </c>
      <c r="I68" s="149" t="str">
        <f>IF(B68="","",'FORM. DE INSPEÇÃO'!A75)</f>
        <v/>
      </c>
      <c r="J68" s="149" t="str">
        <f>IF(B68="","",'FORM. DE INSPEÇÃO'!J75:K75)</f>
        <v/>
      </c>
      <c r="K68" s="149" t="str">
        <f>IF(B68="","",'FORM. DE INSPEÇÃO'!N75)</f>
        <v/>
      </c>
      <c r="L68" s="149" t="str">
        <f>IF(B68="","",'FORM. DE INSPEÇÃO'!P75)</f>
        <v/>
      </c>
      <c r="M68" s="150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6"/>
        <v/>
      </c>
      <c r="C69" s="21" t="str">
        <f t="shared" si="7"/>
        <v/>
      </c>
      <c r="D69" s="21" t="str">
        <f t="shared" si="8"/>
        <v/>
      </c>
      <c r="E69" s="21" t="str">
        <f>'FORM. DE INSPEÇÃO'!L76</f>
        <v/>
      </c>
      <c r="F69" s="21" t="str">
        <f>'FORM. DE INSPEÇÃO'!M76</f>
        <v/>
      </c>
      <c r="G69" s="22" t="str">
        <f>IF(F69="","",'FORM. DE INSPEÇÃO'!G76&amp;"-"&amp;'FORM. DE INSPEÇÃO'!E76)</f>
        <v/>
      </c>
      <c r="H69" s="149" t="str">
        <f>IF(B69="","",'FORM. DE INSPEÇÃO'!R76)</f>
        <v/>
      </c>
      <c r="I69" s="149" t="str">
        <f>IF(B69="","",'FORM. DE INSPEÇÃO'!A76)</f>
        <v/>
      </c>
      <c r="J69" s="149" t="str">
        <f>IF(B69="","",'FORM. DE INSPEÇÃO'!J76:K76)</f>
        <v/>
      </c>
      <c r="K69" s="149" t="str">
        <f>IF(B69="","",'FORM. DE INSPEÇÃO'!N76)</f>
        <v/>
      </c>
      <c r="L69" s="149" t="str">
        <f>IF(B69="","",'FORM. DE INSPEÇÃO'!P76)</f>
        <v/>
      </c>
      <c r="M69" s="150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6"/>
        <v/>
      </c>
      <c r="C70" s="21" t="str">
        <f t="shared" si="7"/>
        <v/>
      </c>
      <c r="D70" s="21" t="str">
        <f t="shared" si="8"/>
        <v/>
      </c>
      <c r="E70" s="21" t="str">
        <f>'FORM. DE INSPEÇÃO'!L77</f>
        <v/>
      </c>
      <c r="F70" s="21" t="str">
        <f>'FORM. DE INSPEÇÃO'!M77</f>
        <v/>
      </c>
      <c r="G70" s="22" t="str">
        <f>IF(F70="","",'FORM. DE INSPEÇÃO'!G77&amp;"-"&amp;'FORM. DE INSPEÇÃO'!E77)</f>
        <v/>
      </c>
      <c r="H70" s="149" t="str">
        <f>IF(B70="","",'FORM. DE INSPEÇÃO'!R77)</f>
        <v/>
      </c>
      <c r="I70" s="149" t="str">
        <f>IF(B70="","",'FORM. DE INSPEÇÃO'!A77)</f>
        <v/>
      </c>
      <c r="J70" s="149" t="str">
        <f>IF(B70="","",'FORM. DE INSPEÇÃO'!J77:K77)</f>
        <v/>
      </c>
      <c r="K70" s="149" t="str">
        <f>IF(B70="","",'FORM. DE INSPEÇÃO'!N77)</f>
        <v/>
      </c>
      <c r="L70" s="149" t="str">
        <f>IF(B70="","",'FORM. DE INSPEÇÃO'!P77)</f>
        <v/>
      </c>
      <c r="M70" s="150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6"/>
        <v/>
      </c>
      <c r="C71" s="21" t="str">
        <f t="shared" si="7"/>
        <v/>
      </c>
      <c r="D71" s="21" t="str">
        <f t="shared" si="8"/>
        <v/>
      </c>
      <c r="E71" s="21" t="str">
        <f>'FORM. DE INSPEÇÃO'!L78</f>
        <v/>
      </c>
      <c r="F71" s="21" t="str">
        <f>'FORM. DE INSPEÇÃO'!M78</f>
        <v/>
      </c>
      <c r="G71" s="22" t="str">
        <f>IF(F71="","",'FORM. DE INSPEÇÃO'!G78&amp;"-"&amp;'FORM. DE INSPEÇÃO'!E78)</f>
        <v/>
      </c>
      <c r="H71" s="149" t="str">
        <f>IF(B71="","",'FORM. DE INSPEÇÃO'!R78)</f>
        <v/>
      </c>
      <c r="I71" s="149" t="str">
        <f>IF(B71="","",'FORM. DE INSPEÇÃO'!A78)</f>
        <v/>
      </c>
      <c r="J71" s="149" t="str">
        <f>IF(B71="","",'FORM. DE INSPEÇÃO'!J78:K78)</f>
        <v/>
      </c>
      <c r="K71" s="149" t="str">
        <f>IF(B71="","",'FORM. DE INSPEÇÃO'!N78)</f>
        <v/>
      </c>
      <c r="L71" s="149" t="str">
        <f>IF(B71="","",'FORM. DE INSPEÇÃO'!P78)</f>
        <v/>
      </c>
      <c r="M71" s="150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6"/>
        <v/>
      </c>
      <c r="C72" s="21" t="str">
        <f t="shared" si="7"/>
        <v/>
      </c>
      <c r="D72" s="21" t="str">
        <f t="shared" si="8"/>
        <v/>
      </c>
      <c r="E72" s="21" t="str">
        <f>'FORM. DE INSPEÇÃO'!L79</f>
        <v/>
      </c>
      <c r="F72" s="21" t="str">
        <f>'FORM. DE INSPEÇÃO'!M79</f>
        <v/>
      </c>
      <c r="G72" s="22" t="str">
        <f>IF(F72="","",'FORM. DE INSPEÇÃO'!G79&amp;"-"&amp;'FORM. DE INSPEÇÃO'!E79)</f>
        <v/>
      </c>
      <c r="H72" s="149" t="str">
        <f>IF(B72="","",'FORM. DE INSPEÇÃO'!R79)</f>
        <v/>
      </c>
      <c r="I72" s="149" t="str">
        <f>IF(B72="","",'FORM. DE INSPEÇÃO'!A79)</f>
        <v/>
      </c>
      <c r="J72" s="149" t="str">
        <f>IF(B72="","",'FORM. DE INSPEÇÃO'!J79:K79)</f>
        <v/>
      </c>
      <c r="K72" s="149" t="str">
        <f>IF(B72="","",'FORM. DE INSPEÇÃO'!N79)</f>
        <v/>
      </c>
      <c r="L72" s="149" t="str">
        <f>IF(B72="","",'FORM. DE INSPEÇÃO'!P79)</f>
        <v/>
      </c>
      <c r="M72" s="150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6"/>
        <v/>
      </c>
      <c r="C73" s="21" t="str">
        <f t="shared" si="7"/>
        <v/>
      </c>
      <c r="D73" s="21" t="str">
        <f t="shared" si="8"/>
        <v/>
      </c>
      <c r="E73" s="21" t="str">
        <f>'FORM. DE INSPEÇÃO'!L80</f>
        <v/>
      </c>
      <c r="F73" s="21" t="str">
        <f>'FORM. DE INSPEÇÃO'!M80</f>
        <v/>
      </c>
      <c r="G73" s="22" t="str">
        <f>IF(F73="","",'FORM. DE INSPEÇÃO'!G80&amp;"-"&amp;'FORM. DE INSPEÇÃO'!E80)</f>
        <v/>
      </c>
      <c r="H73" s="149" t="str">
        <f>IF(B73="","",'FORM. DE INSPEÇÃO'!R80)</f>
        <v/>
      </c>
      <c r="I73" s="149" t="str">
        <f>IF(B73="","",'FORM. DE INSPEÇÃO'!A80)</f>
        <v/>
      </c>
      <c r="J73" s="149" t="str">
        <f>IF(B73="","",'FORM. DE INSPEÇÃO'!J80:K80)</f>
        <v/>
      </c>
      <c r="K73" s="149" t="str">
        <f>IF(B73="","",'FORM. DE INSPEÇÃO'!N80)</f>
        <v/>
      </c>
      <c r="L73" s="149" t="str">
        <f>IF(B73="","",'FORM. DE INSPEÇÃO'!P80)</f>
        <v/>
      </c>
      <c r="M73" s="150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6"/>
        <v/>
      </c>
      <c r="C74" s="21" t="str">
        <f t="shared" si="7"/>
        <v/>
      </c>
      <c r="D74" s="21" t="str">
        <f t="shared" si="8"/>
        <v/>
      </c>
      <c r="E74" s="21" t="str">
        <f>'FORM. DE INSPEÇÃO'!L81</f>
        <v/>
      </c>
      <c r="F74" s="21" t="str">
        <f>'FORM. DE INSPEÇÃO'!M81</f>
        <v/>
      </c>
      <c r="G74" s="22" t="str">
        <f>IF(F74="","",'FORM. DE INSPEÇÃO'!G81&amp;"-"&amp;'FORM. DE INSPEÇÃO'!E81)</f>
        <v/>
      </c>
      <c r="H74" s="149" t="str">
        <f>IF(B74="","",'FORM. DE INSPEÇÃO'!R81)</f>
        <v/>
      </c>
      <c r="I74" s="149" t="str">
        <f>IF(B74="","",'FORM. DE INSPEÇÃO'!A81)</f>
        <v/>
      </c>
      <c r="J74" s="149" t="str">
        <f>IF(B74="","",'FORM. DE INSPEÇÃO'!J81:K81)</f>
        <v/>
      </c>
      <c r="K74" s="149" t="str">
        <f>IF(B74="","",'FORM. DE INSPEÇÃO'!N81)</f>
        <v/>
      </c>
      <c r="L74" s="149" t="str">
        <f>IF(B74="","",'FORM. DE INSPEÇÃO'!P81)</f>
        <v/>
      </c>
      <c r="M74" s="150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6"/>
        <v/>
      </c>
      <c r="C75" s="21" t="str">
        <f t="shared" si="7"/>
        <v/>
      </c>
      <c r="D75" s="21" t="str">
        <f t="shared" si="8"/>
        <v/>
      </c>
      <c r="E75" s="21" t="str">
        <f>'FORM. DE INSPEÇÃO'!L82</f>
        <v/>
      </c>
      <c r="F75" s="21" t="str">
        <f>'FORM. DE INSPEÇÃO'!M82</f>
        <v/>
      </c>
      <c r="G75" s="22" t="str">
        <f>IF(F75="","",'FORM. DE INSPEÇÃO'!G82&amp;"-"&amp;'FORM. DE INSPEÇÃO'!E82)</f>
        <v/>
      </c>
      <c r="H75" s="149" t="str">
        <f>IF(B75="","",'FORM. DE INSPEÇÃO'!R82)</f>
        <v/>
      </c>
      <c r="I75" s="149" t="str">
        <f>IF(B75="","",'FORM. DE INSPEÇÃO'!A82)</f>
        <v/>
      </c>
      <c r="J75" s="149" t="str">
        <f>IF(B75="","",'FORM. DE INSPEÇÃO'!J82:K82)</f>
        <v/>
      </c>
      <c r="K75" s="149" t="str">
        <f>IF(B75="","",'FORM. DE INSPEÇÃO'!N82)</f>
        <v/>
      </c>
      <c r="L75" s="149" t="str">
        <f>IF(B75="","",'FORM. DE INSPEÇÃO'!P82)</f>
        <v/>
      </c>
      <c r="M75" s="150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6"/>
        <v/>
      </c>
      <c r="C76" s="21" t="str">
        <f t="shared" si="7"/>
        <v/>
      </c>
      <c r="D76" s="21" t="str">
        <f t="shared" si="8"/>
        <v/>
      </c>
      <c r="E76" s="21" t="str">
        <f>'FORM. DE INSPEÇÃO'!L83</f>
        <v/>
      </c>
      <c r="F76" s="21" t="str">
        <f>'FORM. DE INSPEÇÃO'!M83</f>
        <v/>
      </c>
      <c r="G76" s="22" t="str">
        <f>IF(F76="","",'FORM. DE INSPEÇÃO'!G83&amp;"-"&amp;'FORM. DE INSPEÇÃO'!E83)</f>
        <v/>
      </c>
      <c r="H76" s="149" t="str">
        <f>IF(B76="","",'FORM. DE INSPEÇÃO'!R83)</f>
        <v/>
      </c>
      <c r="I76" s="149" t="str">
        <f>IF(B76="","",'FORM. DE INSPEÇÃO'!A83)</f>
        <v/>
      </c>
      <c r="J76" s="149" t="str">
        <f>IF(B76="","",'FORM. DE INSPEÇÃO'!J83:K83)</f>
        <v/>
      </c>
      <c r="K76" s="149" t="str">
        <f>IF(B76="","",'FORM. DE INSPEÇÃO'!N83)</f>
        <v/>
      </c>
      <c r="L76" s="149" t="str">
        <f>IF(B76="","",'FORM. DE INSPEÇÃO'!P83)</f>
        <v/>
      </c>
      <c r="M76" s="150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6"/>
        <v/>
      </c>
      <c r="C77" s="21" t="str">
        <f t="shared" si="7"/>
        <v/>
      </c>
      <c r="D77" s="21" t="str">
        <f t="shared" si="8"/>
        <v/>
      </c>
      <c r="E77" s="21" t="str">
        <f>'FORM. DE INSPEÇÃO'!L84</f>
        <v/>
      </c>
      <c r="F77" s="21" t="str">
        <f>'FORM. DE INSPEÇÃO'!M84</f>
        <v/>
      </c>
      <c r="G77" s="22" t="str">
        <f>IF(F77="","",'FORM. DE INSPEÇÃO'!G84&amp;"-"&amp;'FORM. DE INSPEÇÃO'!E84)</f>
        <v/>
      </c>
      <c r="H77" s="149" t="str">
        <f>IF(B77="","",'FORM. DE INSPEÇÃO'!R84)</f>
        <v/>
      </c>
      <c r="I77" s="149" t="str">
        <f>IF(B77="","",'FORM. DE INSPEÇÃO'!A84)</f>
        <v/>
      </c>
      <c r="J77" s="149" t="str">
        <f>IF(B77="","",'FORM. DE INSPEÇÃO'!J84:K84)</f>
        <v/>
      </c>
      <c r="K77" s="149" t="str">
        <f>IF(B77="","",'FORM. DE INSPEÇÃO'!N84)</f>
        <v/>
      </c>
      <c r="L77" s="149" t="str">
        <f>IF(B77="","",'FORM. DE INSPEÇÃO'!P84)</f>
        <v/>
      </c>
      <c r="M77" s="150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6"/>
        <v/>
      </c>
      <c r="C78" s="21" t="str">
        <f t="shared" si="7"/>
        <v/>
      </c>
      <c r="D78" s="21" t="str">
        <f t="shared" si="8"/>
        <v/>
      </c>
      <c r="E78" s="21" t="str">
        <f>'FORM. DE INSPEÇÃO'!L85</f>
        <v/>
      </c>
      <c r="F78" s="21" t="str">
        <f>'FORM. DE INSPEÇÃO'!M85</f>
        <v/>
      </c>
      <c r="G78" s="22" t="str">
        <f>IF(F78="","",'FORM. DE INSPEÇÃO'!G85&amp;"-"&amp;'FORM. DE INSPEÇÃO'!E85)</f>
        <v/>
      </c>
      <c r="H78" s="149" t="str">
        <f>IF(B78="","",'FORM. DE INSPEÇÃO'!R85)</f>
        <v/>
      </c>
      <c r="I78" s="149" t="str">
        <f>IF(B78="","",'FORM. DE INSPEÇÃO'!A85)</f>
        <v/>
      </c>
      <c r="J78" s="149" t="str">
        <f>IF(B78="","",'FORM. DE INSPEÇÃO'!J85:K85)</f>
        <v/>
      </c>
      <c r="K78" s="149" t="str">
        <f>IF(B78="","",'FORM. DE INSPEÇÃO'!N85)</f>
        <v/>
      </c>
      <c r="L78" s="149" t="str">
        <f>IF(B78="","",'FORM. DE INSPEÇÃO'!P85)</f>
        <v/>
      </c>
      <c r="M78" s="150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6"/>
        <v/>
      </c>
      <c r="C79" s="21" t="str">
        <f t="shared" si="7"/>
        <v/>
      </c>
      <c r="D79" s="21" t="str">
        <f t="shared" si="8"/>
        <v/>
      </c>
      <c r="E79" s="21" t="str">
        <f>'FORM. DE INSPEÇÃO'!L86</f>
        <v/>
      </c>
      <c r="F79" s="21" t="str">
        <f>'FORM. DE INSPEÇÃO'!M86</f>
        <v/>
      </c>
      <c r="G79" s="22" t="str">
        <f>IF(F79="","",'FORM. DE INSPEÇÃO'!G86&amp;"-"&amp;'FORM. DE INSPEÇÃO'!E86)</f>
        <v/>
      </c>
      <c r="H79" s="149" t="str">
        <f>IF(B79="","",'FORM. DE INSPEÇÃO'!R86)</f>
        <v/>
      </c>
      <c r="I79" s="149" t="str">
        <f>IF(B79="","",'FORM. DE INSPEÇÃO'!A86)</f>
        <v/>
      </c>
      <c r="J79" s="149" t="str">
        <f>IF(B79="","",'FORM. DE INSPEÇÃO'!J86:K86)</f>
        <v/>
      </c>
      <c r="K79" s="149" t="str">
        <f>IF(B79="","",'FORM. DE INSPEÇÃO'!N86)</f>
        <v/>
      </c>
      <c r="L79" s="149" t="str">
        <f>IF(B79="","",'FORM. DE INSPEÇÃO'!P86)</f>
        <v/>
      </c>
      <c r="M79" s="150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6"/>
        <v/>
      </c>
      <c r="C80" s="21" t="str">
        <f t="shared" si="7"/>
        <v/>
      </c>
      <c r="D80" s="21" t="str">
        <f t="shared" si="8"/>
        <v/>
      </c>
      <c r="E80" s="21" t="str">
        <f>'FORM. DE INSPEÇÃO'!L87</f>
        <v/>
      </c>
      <c r="F80" s="21" t="str">
        <f>'FORM. DE INSPEÇÃO'!M87</f>
        <v/>
      </c>
      <c r="G80" s="22" t="str">
        <f>IF(F80="","",'FORM. DE INSPEÇÃO'!G87&amp;"-"&amp;'FORM. DE INSPEÇÃO'!E87)</f>
        <v/>
      </c>
      <c r="H80" s="149" t="str">
        <f>IF(B80="","",'FORM. DE INSPEÇÃO'!R87)</f>
        <v/>
      </c>
      <c r="I80" s="149" t="str">
        <f>IF(B80="","",'FORM. DE INSPEÇÃO'!A87)</f>
        <v/>
      </c>
      <c r="J80" s="149" t="str">
        <f>IF(B80="","",'FORM. DE INSPEÇÃO'!J87:K87)</f>
        <v/>
      </c>
      <c r="K80" s="149" t="str">
        <f>IF(B80="","",'FORM. DE INSPEÇÃO'!N87)</f>
        <v/>
      </c>
      <c r="L80" s="149" t="str">
        <f>IF(B80="","",'FORM. DE INSPEÇÃO'!P87)</f>
        <v/>
      </c>
      <c r="M80" s="150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6"/>
        <v/>
      </c>
      <c r="C81" s="21" t="str">
        <f t="shared" si="7"/>
        <v/>
      </c>
      <c r="D81" s="21" t="str">
        <f t="shared" si="8"/>
        <v/>
      </c>
      <c r="E81" s="21" t="str">
        <f>'FORM. DE INSPEÇÃO'!L88</f>
        <v/>
      </c>
      <c r="F81" s="21" t="str">
        <f>'FORM. DE INSPEÇÃO'!M88</f>
        <v/>
      </c>
      <c r="G81" s="22" t="str">
        <f>IF(F81="","",'FORM. DE INSPEÇÃO'!G88&amp;"-"&amp;'FORM. DE INSPEÇÃO'!E88)</f>
        <v/>
      </c>
      <c r="H81" s="149" t="str">
        <f>IF(B81="","",'FORM. DE INSPEÇÃO'!R88)</f>
        <v/>
      </c>
      <c r="I81" s="149" t="str">
        <f>IF(B81="","",'FORM. DE INSPEÇÃO'!A88)</f>
        <v/>
      </c>
      <c r="J81" s="149" t="str">
        <f>IF(B81="","",'FORM. DE INSPEÇÃO'!J88:K88)</f>
        <v/>
      </c>
      <c r="K81" s="149" t="str">
        <f>IF(B81="","",'FORM. DE INSPEÇÃO'!N88)</f>
        <v/>
      </c>
      <c r="L81" s="149" t="str">
        <f>IF(B81="","",'FORM. DE INSPEÇÃO'!P88)</f>
        <v/>
      </c>
      <c r="M81" s="150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6"/>
        <v/>
      </c>
      <c r="C82" s="21" t="str">
        <f t="shared" si="7"/>
        <v/>
      </c>
      <c r="D82" s="21" t="str">
        <f t="shared" si="8"/>
        <v/>
      </c>
      <c r="E82" s="21" t="str">
        <f>'FORM. DE INSPEÇÃO'!L89</f>
        <v/>
      </c>
      <c r="F82" s="21" t="str">
        <f>'FORM. DE INSPEÇÃO'!M89</f>
        <v/>
      </c>
      <c r="G82" s="22" t="str">
        <f>IF(F82="","",'FORM. DE INSPEÇÃO'!G89&amp;"-"&amp;'FORM. DE INSPEÇÃO'!E89)</f>
        <v/>
      </c>
      <c r="H82" s="149" t="str">
        <f>IF(B82="","",'FORM. DE INSPEÇÃO'!R89)</f>
        <v/>
      </c>
      <c r="I82" s="149" t="str">
        <f>IF(B82="","",'FORM. DE INSPEÇÃO'!A89)</f>
        <v/>
      </c>
      <c r="J82" s="149" t="str">
        <f>IF(B82="","",'FORM. DE INSPEÇÃO'!J89:K89)</f>
        <v/>
      </c>
      <c r="K82" s="149" t="str">
        <f>IF(B82="","",'FORM. DE INSPEÇÃO'!N89)</f>
        <v/>
      </c>
      <c r="L82" s="149" t="str">
        <f>IF(B82="","",'FORM. DE INSPEÇÃO'!P89)</f>
        <v/>
      </c>
      <c r="M82" s="150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6"/>
        <v/>
      </c>
      <c r="C83" s="21" t="str">
        <f t="shared" si="7"/>
        <v/>
      </c>
      <c r="D83" s="21" t="str">
        <f t="shared" si="8"/>
        <v/>
      </c>
      <c r="E83" s="21" t="str">
        <f>'FORM. DE INSPEÇÃO'!L90</f>
        <v/>
      </c>
      <c r="F83" s="21" t="str">
        <f>'FORM. DE INSPEÇÃO'!M90</f>
        <v/>
      </c>
      <c r="G83" s="22" t="str">
        <f>IF(F83="","",'FORM. DE INSPEÇÃO'!G90&amp;"-"&amp;'FORM. DE INSPEÇÃO'!E90)</f>
        <v/>
      </c>
      <c r="H83" s="149" t="str">
        <f>IF(B83="","",'FORM. DE INSPEÇÃO'!R90)</f>
        <v/>
      </c>
      <c r="I83" s="149" t="str">
        <f>IF(B83="","",'FORM. DE INSPEÇÃO'!A90)</f>
        <v/>
      </c>
      <c r="J83" s="149" t="str">
        <f>IF(B83="","",'FORM. DE INSPEÇÃO'!J90:K90)</f>
        <v/>
      </c>
      <c r="K83" s="149" t="str">
        <f>IF(B83="","",'FORM. DE INSPEÇÃO'!N90)</f>
        <v/>
      </c>
      <c r="L83" s="149" t="str">
        <f>IF(B83="","",'FORM. DE INSPEÇÃO'!P90)</f>
        <v/>
      </c>
      <c r="M83" s="150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6"/>
        <v/>
      </c>
      <c r="C84" s="21" t="str">
        <f t="shared" si="7"/>
        <v/>
      </c>
      <c r="D84" s="21" t="str">
        <f t="shared" si="8"/>
        <v/>
      </c>
      <c r="E84" s="21" t="str">
        <f>'FORM. DE INSPEÇÃO'!L91</f>
        <v/>
      </c>
      <c r="F84" s="21" t="str">
        <f>'FORM. DE INSPEÇÃO'!M91</f>
        <v/>
      </c>
      <c r="G84" s="22" t="str">
        <f>IF(F84="","",'FORM. DE INSPEÇÃO'!G91&amp;"-"&amp;'FORM. DE INSPEÇÃO'!E91)</f>
        <v/>
      </c>
      <c r="H84" s="149" t="str">
        <f>IF(B84="","",'FORM. DE INSPEÇÃO'!R91)</f>
        <v/>
      </c>
      <c r="I84" s="149" t="str">
        <f>IF(B84="","",'FORM. DE INSPEÇÃO'!A91)</f>
        <v/>
      </c>
      <c r="J84" s="149" t="str">
        <f>IF(B84="","",'FORM. DE INSPEÇÃO'!J91:K91)</f>
        <v/>
      </c>
      <c r="K84" s="149" t="str">
        <f>IF(B84="","",'FORM. DE INSPEÇÃO'!N91)</f>
        <v/>
      </c>
      <c r="L84" s="149" t="str">
        <f>IF(B84="","",'FORM. DE INSPEÇÃO'!P91)</f>
        <v/>
      </c>
      <c r="M84" s="150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6"/>
        <v/>
      </c>
      <c r="C85" s="21" t="str">
        <f t="shared" si="7"/>
        <v/>
      </c>
      <c r="D85" s="21" t="str">
        <f t="shared" si="8"/>
        <v/>
      </c>
      <c r="E85" s="21" t="str">
        <f>'FORM. DE INSPEÇÃO'!L92</f>
        <v/>
      </c>
      <c r="F85" s="21" t="str">
        <f>'FORM. DE INSPEÇÃO'!M92</f>
        <v/>
      </c>
      <c r="G85" s="22" t="str">
        <f>IF(F85="","",'FORM. DE INSPEÇÃO'!G92&amp;"-"&amp;'FORM. DE INSPEÇÃO'!E92)</f>
        <v/>
      </c>
      <c r="H85" s="149" t="str">
        <f>IF(B85="","",'FORM. DE INSPEÇÃO'!R92)</f>
        <v/>
      </c>
      <c r="I85" s="149" t="str">
        <f>IF(B85="","",'FORM. DE INSPEÇÃO'!A92)</f>
        <v/>
      </c>
      <c r="J85" s="149" t="str">
        <f>IF(B85="","",'FORM. DE INSPEÇÃO'!J92:K92)</f>
        <v/>
      </c>
      <c r="K85" s="149" t="str">
        <f>IF(B85="","",'FORM. DE INSPEÇÃO'!N92)</f>
        <v/>
      </c>
      <c r="L85" s="149" t="str">
        <f>IF(B85="","",'FORM. DE INSPEÇÃO'!P92)</f>
        <v/>
      </c>
      <c r="M85" s="150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6"/>
        <v/>
      </c>
      <c r="C86" s="21" t="str">
        <f t="shared" si="7"/>
        <v/>
      </c>
      <c r="D86" s="21" t="str">
        <f t="shared" si="8"/>
        <v/>
      </c>
      <c r="E86" s="21" t="str">
        <f>'FORM. DE INSPEÇÃO'!L93</f>
        <v/>
      </c>
      <c r="F86" s="21" t="str">
        <f>'FORM. DE INSPEÇÃO'!M93</f>
        <v/>
      </c>
      <c r="G86" s="22" t="str">
        <f>IF(F86="","",'FORM. DE INSPEÇÃO'!G93&amp;"-"&amp;'FORM. DE INSPEÇÃO'!E93)</f>
        <v/>
      </c>
      <c r="H86" s="149" t="str">
        <f>IF(B86="","",'FORM. DE INSPEÇÃO'!R93)</f>
        <v/>
      </c>
      <c r="I86" s="149" t="str">
        <f>IF(B86="","",'FORM. DE INSPEÇÃO'!A93)</f>
        <v/>
      </c>
      <c r="J86" s="149" t="str">
        <f>IF(B86="","",'FORM. DE INSPEÇÃO'!J93:K93)</f>
        <v/>
      </c>
      <c r="K86" s="149" t="str">
        <f>IF(B86="","",'FORM. DE INSPEÇÃO'!N93)</f>
        <v/>
      </c>
      <c r="L86" s="149" t="str">
        <f>IF(B86="","",'FORM. DE INSPEÇÃO'!P93)</f>
        <v/>
      </c>
      <c r="M86" s="150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6"/>
        <v/>
      </c>
      <c r="C87" s="21" t="str">
        <f t="shared" si="7"/>
        <v/>
      </c>
      <c r="D87" s="21" t="str">
        <f t="shared" si="8"/>
        <v/>
      </c>
      <c r="E87" s="21" t="str">
        <f>'FORM. DE INSPEÇÃO'!L94</f>
        <v/>
      </c>
      <c r="F87" s="21" t="str">
        <f>'FORM. DE INSPEÇÃO'!M94</f>
        <v/>
      </c>
      <c r="G87" s="22" t="str">
        <f>IF(F87="","",'FORM. DE INSPEÇÃO'!G94&amp;"-"&amp;'FORM. DE INSPEÇÃO'!E94)</f>
        <v/>
      </c>
      <c r="H87" s="149" t="str">
        <f>IF(B87="","",'FORM. DE INSPEÇÃO'!R94)</f>
        <v/>
      </c>
      <c r="I87" s="149" t="str">
        <f>IF(B87="","",'FORM. DE INSPEÇÃO'!A94)</f>
        <v/>
      </c>
      <c r="J87" s="149" t="str">
        <f>IF(B87="","",'FORM. DE INSPEÇÃO'!J94:K94)</f>
        <v/>
      </c>
      <c r="K87" s="149" t="str">
        <f>IF(B87="","",'FORM. DE INSPEÇÃO'!N94)</f>
        <v/>
      </c>
      <c r="L87" s="149" t="str">
        <f>IF(B87="","",'FORM. DE INSPEÇÃO'!P94)</f>
        <v/>
      </c>
      <c r="M87" s="150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6"/>
        <v/>
      </c>
      <c r="C88" s="21" t="str">
        <f t="shared" si="7"/>
        <v/>
      </c>
      <c r="D88" s="21" t="str">
        <f t="shared" si="8"/>
        <v/>
      </c>
      <c r="E88" s="21" t="str">
        <f>'FORM. DE INSPEÇÃO'!L95</f>
        <v/>
      </c>
      <c r="F88" s="21" t="str">
        <f>'FORM. DE INSPEÇÃO'!M95</f>
        <v/>
      </c>
      <c r="G88" s="22" t="str">
        <f>IF(F88="","",'FORM. DE INSPEÇÃO'!G95&amp;"-"&amp;'FORM. DE INSPEÇÃO'!E95)</f>
        <v/>
      </c>
      <c r="H88" s="149" t="str">
        <f>IF(B88="","",'FORM. DE INSPEÇÃO'!R95)</f>
        <v/>
      </c>
      <c r="I88" s="149" t="str">
        <f>IF(B88="","",'FORM. DE INSPEÇÃO'!A95)</f>
        <v/>
      </c>
      <c r="J88" s="149" t="str">
        <f>IF(B88="","",'FORM. DE INSPEÇÃO'!J95:K95)</f>
        <v/>
      </c>
      <c r="K88" s="149" t="str">
        <f>IF(B88="","",'FORM. DE INSPEÇÃO'!N95)</f>
        <v/>
      </c>
      <c r="L88" s="149" t="str">
        <f>IF(B88="","",'FORM. DE INSPEÇÃO'!P95)</f>
        <v/>
      </c>
      <c r="M88" s="150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6"/>
        <v/>
      </c>
      <c r="C89" s="21" t="str">
        <f t="shared" si="7"/>
        <v/>
      </c>
      <c r="D89" s="21" t="str">
        <f t="shared" si="8"/>
        <v/>
      </c>
      <c r="E89" s="21" t="str">
        <f>'FORM. DE INSPEÇÃO'!L96</f>
        <v/>
      </c>
      <c r="F89" s="21" t="str">
        <f>'FORM. DE INSPEÇÃO'!M96</f>
        <v/>
      </c>
      <c r="G89" s="22" t="str">
        <f>IF(F89="","",'FORM. DE INSPEÇÃO'!G96&amp;"-"&amp;'FORM. DE INSPEÇÃO'!E96)</f>
        <v/>
      </c>
      <c r="H89" s="149" t="str">
        <f>IF(B89="","",'FORM. DE INSPEÇÃO'!R96)</f>
        <v/>
      </c>
      <c r="I89" s="149" t="str">
        <f>IF(B89="","",'FORM. DE INSPEÇÃO'!A96)</f>
        <v/>
      </c>
      <c r="J89" s="149" t="str">
        <f>IF(B89="","",'FORM. DE INSPEÇÃO'!J96:K96)</f>
        <v/>
      </c>
      <c r="K89" s="149" t="str">
        <f>IF(B89="","",'FORM. DE INSPEÇÃO'!N96)</f>
        <v/>
      </c>
      <c r="L89" s="149" t="str">
        <f>IF(B89="","",'FORM. DE INSPEÇÃO'!P96)</f>
        <v/>
      </c>
      <c r="M89" s="150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6"/>
        <v/>
      </c>
      <c r="C90" s="21" t="str">
        <f t="shared" si="7"/>
        <v/>
      </c>
      <c r="D90" s="21" t="str">
        <f t="shared" si="8"/>
        <v/>
      </c>
      <c r="E90" s="21" t="str">
        <f>'FORM. DE INSPEÇÃO'!L97</f>
        <v/>
      </c>
      <c r="F90" s="21" t="str">
        <f>'FORM. DE INSPEÇÃO'!M97</f>
        <v/>
      </c>
      <c r="G90" s="22" t="str">
        <f>IF(F90="","",'FORM. DE INSPEÇÃO'!G97&amp;"-"&amp;'FORM. DE INSPEÇÃO'!E97)</f>
        <v/>
      </c>
      <c r="H90" s="149" t="str">
        <f>IF(B90="","",'FORM. DE INSPEÇÃO'!R97)</f>
        <v/>
      </c>
      <c r="I90" s="149" t="str">
        <f>IF(B90="","",'FORM. DE INSPEÇÃO'!A97)</f>
        <v/>
      </c>
      <c r="J90" s="149" t="str">
        <f>IF(B90="","",'FORM. DE INSPEÇÃO'!J97:K97)</f>
        <v/>
      </c>
      <c r="K90" s="149" t="str">
        <f>IF(B90="","",'FORM. DE INSPEÇÃO'!N97)</f>
        <v/>
      </c>
      <c r="L90" s="149" t="str">
        <f>IF(B90="","",'FORM. DE INSPEÇÃO'!P97)</f>
        <v/>
      </c>
      <c r="M90" s="150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6"/>
        <v/>
      </c>
      <c r="C91" s="21" t="str">
        <f t="shared" si="7"/>
        <v/>
      </c>
      <c r="D91" s="21" t="str">
        <f t="shared" si="8"/>
        <v/>
      </c>
      <c r="E91" s="21" t="str">
        <f>'FORM. DE INSPEÇÃO'!L98</f>
        <v/>
      </c>
      <c r="F91" s="21" t="str">
        <f>'FORM. DE INSPEÇÃO'!M98</f>
        <v/>
      </c>
      <c r="G91" s="22" t="str">
        <f>IF(F91="","",'FORM. DE INSPEÇÃO'!G98&amp;"-"&amp;'FORM. DE INSPEÇÃO'!E98)</f>
        <v/>
      </c>
      <c r="H91" s="149" t="str">
        <f>IF(B91="","",'FORM. DE INSPEÇÃO'!R98)</f>
        <v/>
      </c>
      <c r="I91" s="149" t="str">
        <f>IF(B91="","",'FORM. DE INSPEÇÃO'!A98)</f>
        <v/>
      </c>
      <c r="J91" s="149" t="str">
        <f>IF(B91="","",'FORM. DE INSPEÇÃO'!J98:K98)</f>
        <v/>
      </c>
      <c r="K91" s="149" t="str">
        <f>IF(B91="","",'FORM. DE INSPEÇÃO'!N98)</f>
        <v/>
      </c>
      <c r="L91" s="149" t="str">
        <f>IF(B91="","",'FORM. DE INSPEÇÃO'!P98)</f>
        <v/>
      </c>
      <c r="M91" s="150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6"/>
        <v/>
      </c>
      <c r="C92" s="21" t="str">
        <f t="shared" si="7"/>
        <v/>
      </c>
      <c r="D92" s="21" t="str">
        <f t="shared" si="8"/>
        <v/>
      </c>
      <c r="E92" s="21" t="str">
        <f>'FORM. DE INSPEÇÃO'!L99</f>
        <v/>
      </c>
      <c r="F92" s="21" t="str">
        <f>'FORM. DE INSPEÇÃO'!M99</f>
        <v/>
      </c>
      <c r="G92" s="22" t="str">
        <f>IF(F92="","",'FORM. DE INSPEÇÃO'!G99&amp;"-"&amp;'FORM. DE INSPEÇÃO'!E99)</f>
        <v/>
      </c>
      <c r="H92" s="149" t="str">
        <f>IF(B92="","",'FORM. DE INSPEÇÃO'!R99)</f>
        <v/>
      </c>
      <c r="I92" s="149" t="str">
        <f>IF(B92="","",'FORM. DE INSPEÇÃO'!A99)</f>
        <v/>
      </c>
      <c r="J92" s="149" t="str">
        <f>IF(B92="","",'FORM. DE INSPEÇÃO'!J99:K99)</f>
        <v/>
      </c>
      <c r="K92" s="149" t="str">
        <f>IF(B92="","",'FORM. DE INSPEÇÃO'!N99)</f>
        <v/>
      </c>
      <c r="L92" s="149" t="str">
        <f>IF(B92="","",'FORM. DE INSPEÇÃO'!P99)</f>
        <v/>
      </c>
      <c r="M92" s="150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6"/>
        <v/>
      </c>
      <c r="C93" s="21" t="str">
        <f t="shared" si="7"/>
        <v/>
      </c>
      <c r="D93" s="21" t="str">
        <f t="shared" si="8"/>
        <v/>
      </c>
      <c r="E93" s="21" t="str">
        <f>'FORM. DE INSPEÇÃO'!L100</f>
        <v/>
      </c>
      <c r="F93" s="21" t="str">
        <f>'FORM. DE INSPEÇÃO'!M100</f>
        <v/>
      </c>
      <c r="G93" s="22" t="str">
        <f>IF(F93="","",'FORM. DE INSPEÇÃO'!G100&amp;"-"&amp;'FORM. DE INSPEÇÃO'!E100)</f>
        <v/>
      </c>
      <c r="H93" s="149" t="str">
        <f>IF(B93="","",'FORM. DE INSPEÇÃO'!R100)</f>
        <v/>
      </c>
      <c r="I93" s="149" t="str">
        <f>IF(B93="","",'FORM. DE INSPEÇÃO'!A100)</f>
        <v/>
      </c>
      <c r="J93" s="149" t="str">
        <f>IF(B93="","",'FORM. DE INSPEÇÃO'!J100:K100)</f>
        <v/>
      </c>
      <c r="K93" s="149" t="str">
        <f>IF(B93="","",'FORM. DE INSPEÇÃO'!N100)</f>
        <v/>
      </c>
      <c r="L93" s="149" t="str">
        <f>IF(B93="","",'FORM. DE INSPEÇÃO'!P100)</f>
        <v/>
      </c>
      <c r="M93" s="150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6"/>
        <v/>
      </c>
      <c r="C94" s="21" t="str">
        <f t="shared" si="7"/>
        <v/>
      </c>
      <c r="D94" s="21" t="str">
        <f t="shared" si="8"/>
        <v/>
      </c>
      <c r="E94" s="21" t="str">
        <f>'FORM. DE INSPEÇÃO'!L101</f>
        <v/>
      </c>
      <c r="F94" s="21" t="str">
        <f>'FORM. DE INSPEÇÃO'!M101</f>
        <v/>
      </c>
      <c r="G94" s="22" t="str">
        <f>IF(F94="","",'FORM. DE INSPEÇÃO'!G101&amp;"-"&amp;'FORM. DE INSPEÇÃO'!E101)</f>
        <v/>
      </c>
      <c r="H94" s="149" t="str">
        <f>IF(B94="","",'FORM. DE INSPEÇÃO'!R101)</f>
        <v/>
      </c>
      <c r="I94" s="149" t="str">
        <f>IF(B94="","",'FORM. DE INSPEÇÃO'!A101)</f>
        <v/>
      </c>
      <c r="J94" s="149" t="str">
        <f>IF(B94="","",'FORM. DE INSPEÇÃO'!J101:K101)</f>
        <v/>
      </c>
      <c r="K94" s="149" t="str">
        <f>IF(B94="","",'FORM. DE INSPEÇÃO'!N101)</f>
        <v/>
      </c>
      <c r="L94" s="149" t="str">
        <f>IF(B94="","",'FORM. DE INSPEÇÃO'!P101)</f>
        <v/>
      </c>
      <c r="M94" s="150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6"/>
        <v/>
      </c>
      <c r="C95" s="21" t="str">
        <f t="shared" si="7"/>
        <v/>
      </c>
      <c r="D95" s="21" t="str">
        <f t="shared" si="8"/>
        <v/>
      </c>
      <c r="E95" s="21" t="str">
        <f>'FORM. DE INSPEÇÃO'!L102</f>
        <v/>
      </c>
      <c r="F95" s="21" t="str">
        <f>'FORM. DE INSPEÇÃO'!M102</f>
        <v/>
      </c>
      <c r="G95" s="22" t="str">
        <f>IF(F95="","",'FORM. DE INSPEÇÃO'!G102&amp;"-"&amp;'FORM. DE INSPEÇÃO'!E102)</f>
        <v/>
      </c>
      <c r="H95" s="149" t="str">
        <f>IF(B95="","",'FORM. DE INSPEÇÃO'!R102)</f>
        <v/>
      </c>
      <c r="I95" s="149" t="str">
        <f>IF(B95="","",'FORM. DE INSPEÇÃO'!A102)</f>
        <v/>
      </c>
      <c r="J95" s="149" t="str">
        <f>IF(B95="","",'FORM. DE INSPEÇÃO'!J102:K102)</f>
        <v/>
      </c>
      <c r="K95" s="149" t="str">
        <f>IF(B95="","",'FORM. DE INSPEÇÃO'!N102)</f>
        <v/>
      </c>
      <c r="L95" s="149" t="str">
        <f>IF(B95="","",'FORM. DE INSPEÇÃO'!P102)</f>
        <v/>
      </c>
      <c r="M95" s="150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6"/>
        <v/>
      </c>
      <c r="C96" s="21" t="str">
        <f t="shared" si="7"/>
        <v/>
      </c>
      <c r="D96" s="21" t="str">
        <f t="shared" si="8"/>
        <v/>
      </c>
      <c r="E96" s="21" t="str">
        <f>'FORM. DE INSPEÇÃO'!L103</f>
        <v/>
      </c>
      <c r="F96" s="21" t="str">
        <f>'FORM. DE INSPEÇÃO'!M103</f>
        <v/>
      </c>
      <c r="G96" s="22" t="str">
        <f>IF(F96="","",'FORM. DE INSPEÇÃO'!G103&amp;"-"&amp;'FORM. DE INSPEÇÃO'!E103)</f>
        <v/>
      </c>
      <c r="H96" s="149" t="str">
        <f>IF(B96="","",'FORM. DE INSPEÇÃO'!R103)</f>
        <v/>
      </c>
      <c r="I96" s="149" t="str">
        <f>IF(B96="","",'FORM. DE INSPEÇÃO'!A103)</f>
        <v/>
      </c>
      <c r="J96" s="149" t="str">
        <f>IF(B96="","",'FORM. DE INSPEÇÃO'!J103:K103)</f>
        <v/>
      </c>
      <c r="K96" s="149" t="str">
        <f>IF(B96="","",'FORM. DE INSPEÇÃO'!N103)</f>
        <v/>
      </c>
      <c r="L96" s="149" t="str">
        <f>IF(B96="","",'FORM. DE INSPEÇÃO'!P103)</f>
        <v/>
      </c>
      <c r="M96" s="150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6"/>
        <v/>
      </c>
      <c r="C97" s="21" t="str">
        <f t="shared" si="7"/>
        <v/>
      </c>
      <c r="D97" s="21" t="str">
        <f t="shared" si="8"/>
        <v/>
      </c>
      <c r="E97" s="21" t="str">
        <f>'FORM. DE INSPEÇÃO'!L104</f>
        <v/>
      </c>
      <c r="F97" s="21" t="str">
        <f>'FORM. DE INSPEÇÃO'!M104</f>
        <v/>
      </c>
      <c r="G97" s="22" t="str">
        <f>IF(F97="","",'FORM. DE INSPEÇÃO'!G104&amp;"-"&amp;'FORM. DE INSPEÇÃO'!E104)</f>
        <v/>
      </c>
      <c r="H97" s="149" t="str">
        <f>IF(B97="","",'FORM. DE INSPEÇÃO'!R104)</f>
        <v/>
      </c>
      <c r="I97" s="149" t="str">
        <f>IF(B97="","",'FORM. DE INSPEÇÃO'!A104)</f>
        <v/>
      </c>
      <c r="J97" s="149" t="str">
        <f>IF(B97="","",'FORM. DE INSPEÇÃO'!J104:K104)</f>
        <v/>
      </c>
      <c r="K97" s="149" t="str">
        <f>IF(B97="","",'FORM. DE INSPEÇÃO'!N104)</f>
        <v/>
      </c>
      <c r="L97" s="149" t="str">
        <f>IF(B97="","",'FORM. DE INSPEÇÃO'!P104)</f>
        <v/>
      </c>
      <c r="M97" s="150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ref="B98:B129" si="9">IF(E98="","","LT")</f>
        <v/>
      </c>
      <c r="C98" s="21" t="str">
        <f t="shared" ref="C98:C129" si="10">IF(E98="","",LEFT(E98,2))</f>
        <v/>
      </c>
      <c r="D98" s="21" t="str">
        <f t="shared" ref="D98:D129" si="11">B98&amp;C98</f>
        <v/>
      </c>
      <c r="E98" s="21" t="str">
        <f>'FORM. DE INSPEÇÃO'!L105</f>
        <v/>
      </c>
      <c r="F98" s="21" t="str">
        <f>'FORM. DE INSPEÇÃO'!M105</f>
        <v/>
      </c>
      <c r="G98" s="22" t="str">
        <f>IF(F98="","",'FORM. DE INSPEÇÃO'!G105&amp;"-"&amp;'FORM. DE INSPEÇÃO'!E105)</f>
        <v/>
      </c>
      <c r="H98" s="149" t="str">
        <f>IF(B98="","",'FORM. DE INSPEÇÃO'!R105)</f>
        <v/>
      </c>
      <c r="I98" s="149" t="str">
        <f>IF(B98="","",'FORM. DE INSPEÇÃO'!A105)</f>
        <v/>
      </c>
      <c r="J98" s="149" t="str">
        <f>IF(B98="","",'FORM. DE INSPEÇÃO'!J105:K105)</f>
        <v/>
      </c>
      <c r="K98" s="149" t="str">
        <f>IF(B98="","",'FORM. DE INSPEÇÃO'!N105)</f>
        <v/>
      </c>
      <c r="L98" s="149" t="str">
        <f>IF(B98="","",'FORM. DE INSPEÇÃO'!P105)</f>
        <v/>
      </c>
      <c r="M98" s="150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9"/>
        <v/>
      </c>
      <c r="C99" s="21" t="str">
        <f t="shared" si="10"/>
        <v/>
      </c>
      <c r="D99" s="21" t="str">
        <f t="shared" si="11"/>
        <v/>
      </c>
      <c r="E99" s="21" t="str">
        <f>'FORM. DE INSPEÇÃO'!L106</f>
        <v/>
      </c>
      <c r="F99" s="21" t="str">
        <f>'FORM. DE INSPEÇÃO'!M106</f>
        <v/>
      </c>
      <c r="G99" s="22" t="str">
        <f>IF(F99="","",'FORM. DE INSPEÇÃO'!G106&amp;"-"&amp;'FORM. DE INSPEÇÃO'!E106)</f>
        <v/>
      </c>
      <c r="H99" s="149" t="str">
        <f>IF(B99="","",'FORM. DE INSPEÇÃO'!R106)</f>
        <v/>
      </c>
      <c r="I99" s="149" t="str">
        <f>IF(B99="","",'FORM. DE INSPEÇÃO'!A106)</f>
        <v/>
      </c>
      <c r="J99" s="149" t="str">
        <f>IF(B99="","",'FORM. DE INSPEÇÃO'!J106:K106)</f>
        <v/>
      </c>
      <c r="K99" s="149" t="str">
        <f>IF(B99="","",'FORM. DE INSPEÇÃO'!N106)</f>
        <v/>
      </c>
      <c r="L99" s="149" t="str">
        <f>IF(B99="","",'FORM. DE INSPEÇÃO'!P106)</f>
        <v/>
      </c>
      <c r="M99" s="150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9"/>
        <v/>
      </c>
      <c r="C100" s="21" t="str">
        <f t="shared" si="10"/>
        <v/>
      </c>
      <c r="D100" s="21" t="str">
        <f t="shared" si="11"/>
        <v/>
      </c>
      <c r="E100" s="21" t="str">
        <f>'FORM. DE INSPEÇÃO'!L107</f>
        <v/>
      </c>
      <c r="F100" s="21" t="str">
        <f>'FORM. DE INSPEÇÃO'!M107</f>
        <v/>
      </c>
      <c r="G100" s="22" t="str">
        <f>IF(F100="","",'FORM. DE INSPEÇÃO'!G107&amp;"-"&amp;'FORM. DE INSPEÇÃO'!E107)</f>
        <v/>
      </c>
      <c r="H100" s="149" t="str">
        <f>IF(B100="","",'FORM. DE INSPEÇÃO'!R107)</f>
        <v/>
      </c>
      <c r="I100" s="149" t="str">
        <f>IF(B100="","",'FORM. DE INSPEÇÃO'!A107)</f>
        <v/>
      </c>
      <c r="J100" s="149" t="str">
        <f>IF(B100="","",'FORM. DE INSPEÇÃO'!J107:K107)</f>
        <v/>
      </c>
      <c r="K100" s="149" t="str">
        <f>IF(B100="","",'FORM. DE INSPEÇÃO'!N107)</f>
        <v/>
      </c>
      <c r="L100" s="149" t="str">
        <f>IF(B100="","",'FORM. DE INSPEÇÃO'!P107)</f>
        <v/>
      </c>
      <c r="M100" s="150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9"/>
        <v/>
      </c>
      <c r="C101" s="21" t="str">
        <f t="shared" si="10"/>
        <v/>
      </c>
      <c r="D101" s="21" t="str">
        <f t="shared" si="11"/>
        <v/>
      </c>
      <c r="E101" s="21" t="str">
        <f>'FORM. DE INSPEÇÃO'!L108</f>
        <v/>
      </c>
      <c r="F101" s="21" t="str">
        <f>'FORM. DE INSPEÇÃO'!M108</f>
        <v/>
      </c>
      <c r="G101" s="22" t="str">
        <f>IF(F101="","",'FORM. DE INSPEÇÃO'!G108&amp;"-"&amp;'FORM. DE INSPEÇÃO'!E108)</f>
        <v/>
      </c>
      <c r="H101" s="149" t="str">
        <f>IF(B101="","",'FORM. DE INSPEÇÃO'!R108)</f>
        <v/>
      </c>
      <c r="I101" s="149" t="str">
        <f>IF(B101="","",'FORM. DE INSPEÇÃO'!A108)</f>
        <v/>
      </c>
      <c r="J101" s="149" t="str">
        <f>IF(B101="","",'FORM. DE INSPEÇÃO'!J108:K108)</f>
        <v/>
      </c>
      <c r="K101" s="149" t="str">
        <f>IF(B101="","",'FORM. DE INSPEÇÃO'!N108)</f>
        <v/>
      </c>
      <c r="L101" s="149" t="str">
        <f>IF(B101="","",'FORM. DE INSPEÇÃO'!P108)</f>
        <v/>
      </c>
      <c r="M101" s="150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9"/>
        <v/>
      </c>
      <c r="C102" s="21" t="str">
        <f t="shared" si="10"/>
        <v/>
      </c>
      <c r="D102" s="21" t="str">
        <f t="shared" si="11"/>
        <v/>
      </c>
      <c r="E102" s="21" t="str">
        <f>'FORM. DE INSPEÇÃO'!L109</f>
        <v/>
      </c>
      <c r="F102" s="21" t="str">
        <f>'FORM. DE INSPEÇÃO'!M109</f>
        <v/>
      </c>
      <c r="G102" s="22" t="str">
        <f>IF(F102="","",'FORM. DE INSPEÇÃO'!G109&amp;"-"&amp;'FORM. DE INSPEÇÃO'!E109)</f>
        <v/>
      </c>
      <c r="H102" s="149" t="str">
        <f>IF(B102="","",'FORM. DE INSPEÇÃO'!R109)</f>
        <v/>
      </c>
      <c r="I102" s="149" t="str">
        <f>IF(B102="","",'FORM. DE INSPEÇÃO'!A109)</f>
        <v/>
      </c>
      <c r="J102" s="149" t="str">
        <f>IF(B102="","",'FORM. DE INSPEÇÃO'!J109:K109)</f>
        <v/>
      </c>
      <c r="K102" s="149" t="str">
        <f>IF(B102="","",'FORM. DE INSPEÇÃO'!N109)</f>
        <v/>
      </c>
      <c r="L102" s="149" t="str">
        <f>IF(B102="","",'FORM. DE INSPEÇÃO'!P109)</f>
        <v/>
      </c>
      <c r="M102" s="150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9"/>
        <v/>
      </c>
      <c r="C103" s="21" t="str">
        <f t="shared" si="10"/>
        <v/>
      </c>
      <c r="D103" s="21" t="str">
        <f t="shared" si="11"/>
        <v/>
      </c>
      <c r="E103" s="21" t="str">
        <f>'FORM. DE INSPEÇÃO'!L110</f>
        <v/>
      </c>
      <c r="F103" s="21" t="str">
        <f>'FORM. DE INSPEÇÃO'!M110</f>
        <v/>
      </c>
      <c r="G103" s="22" t="str">
        <f>IF(F103="","",'FORM. DE INSPEÇÃO'!G110&amp;"-"&amp;'FORM. DE INSPEÇÃO'!E110)</f>
        <v/>
      </c>
      <c r="H103" s="149" t="str">
        <f>IF(B103="","",'FORM. DE INSPEÇÃO'!R110)</f>
        <v/>
      </c>
      <c r="I103" s="149" t="str">
        <f>IF(B103="","",'FORM. DE INSPEÇÃO'!A110)</f>
        <v/>
      </c>
      <c r="J103" s="149" t="str">
        <f>IF(B103="","",'FORM. DE INSPEÇÃO'!J110:K110)</f>
        <v/>
      </c>
      <c r="K103" s="149" t="str">
        <f>IF(B103="","",'FORM. DE INSPEÇÃO'!N110)</f>
        <v/>
      </c>
      <c r="L103" s="149" t="str">
        <f>IF(B103="","",'FORM. DE INSPEÇÃO'!P110)</f>
        <v/>
      </c>
      <c r="M103" s="150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9"/>
        <v/>
      </c>
      <c r="C104" s="21" t="str">
        <f t="shared" si="10"/>
        <v/>
      </c>
      <c r="D104" s="21" t="str">
        <f t="shared" si="11"/>
        <v/>
      </c>
      <c r="E104" s="21" t="str">
        <f>'FORM. DE INSPEÇÃO'!L111</f>
        <v/>
      </c>
      <c r="F104" s="21" t="str">
        <f>'FORM. DE INSPEÇÃO'!M111</f>
        <v/>
      </c>
      <c r="G104" s="22" t="str">
        <f>IF(F104="","",'FORM. DE INSPEÇÃO'!G111&amp;"-"&amp;'FORM. DE INSPEÇÃO'!E111)</f>
        <v/>
      </c>
      <c r="H104" s="149" t="str">
        <f>IF(B104="","",'FORM. DE INSPEÇÃO'!R111)</f>
        <v/>
      </c>
      <c r="I104" s="149" t="str">
        <f>IF(B104="","",'FORM. DE INSPEÇÃO'!A111)</f>
        <v/>
      </c>
      <c r="J104" s="149" t="str">
        <f>IF(B104="","",'FORM. DE INSPEÇÃO'!J111:K111)</f>
        <v/>
      </c>
      <c r="K104" s="149" t="str">
        <f>IF(B104="","",'FORM. DE INSPEÇÃO'!N111)</f>
        <v/>
      </c>
      <c r="L104" s="149" t="str">
        <f>IF(B104="","",'FORM. DE INSPEÇÃO'!P111)</f>
        <v/>
      </c>
      <c r="M104" s="150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9"/>
        <v/>
      </c>
      <c r="C105" s="21" t="str">
        <f t="shared" si="10"/>
        <v/>
      </c>
      <c r="D105" s="21" t="str">
        <f t="shared" si="11"/>
        <v/>
      </c>
      <c r="E105" s="21" t="str">
        <f>'FORM. DE INSPEÇÃO'!L112</f>
        <v/>
      </c>
      <c r="F105" s="21" t="str">
        <f>'FORM. DE INSPEÇÃO'!M112</f>
        <v/>
      </c>
      <c r="G105" s="22" t="str">
        <f>IF(F105="","",'FORM. DE INSPEÇÃO'!G112&amp;"-"&amp;'FORM. DE INSPEÇÃO'!E112)</f>
        <v/>
      </c>
      <c r="H105" s="149" t="str">
        <f>IF(B105="","",'FORM. DE INSPEÇÃO'!R112)</f>
        <v/>
      </c>
      <c r="I105" s="149" t="str">
        <f>IF(B105="","",'FORM. DE INSPEÇÃO'!A112)</f>
        <v/>
      </c>
      <c r="J105" s="149" t="str">
        <f>IF(B105="","",'FORM. DE INSPEÇÃO'!J112:K112)</f>
        <v/>
      </c>
      <c r="K105" s="149" t="str">
        <f>IF(B105="","",'FORM. DE INSPEÇÃO'!N112)</f>
        <v/>
      </c>
      <c r="L105" s="149" t="str">
        <f>IF(B105="","",'FORM. DE INSPEÇÃO'!P112)</f>
        <v/>
      </c>
      <c r="M105" s="150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9"/>
        <v/>
      </c>
      <c r="C106" s="21" t="str">
        <f t="shared" si="10"/>
        <v/>
      </c>
      <c r="D106" s="21" t="str">
        <f t="shared" si="11"/>
        <v/>
      </c>
      <c r="E106" s="21" t="str">
        <f>'FORM. DE INSPEÇÃO'!L113</f>
        <v/>
      </c>
      <c r="F106" s="21" t="str">
        <f>'FORM. DE INSPEÇÃO'!M113</f>
        <v/>
      </c>
      <c r="G106" s="22" t="str">
        <f>IF(F106="","",'FORM. DE INSPEÇÃO'!G113&amp;"-"&amp;'FORM. DE INSPEÇÃO'!E113)</f>
        <v/>
      </c>
      <c r="H106" s="149" t="str">
        <f>IF(B106="","",'FORM. DE INSPEÇÃO'!R113)</f>
        <v/>
      </c>
      <c r="I106" s="149" t="str">
        <f>IF(B106="","",'FORM. DE INSPEÇÃO'!A113)</f>
        <v/>
      </c>
      <c r="J106" s="149" t="str">
        <f>IF(B106="","",'FORM. DE INSPEÇÃO'!J113:K113)</f>
        <v/>
      </c>
      <c r="K106" s="149" t="str">
        <f>IF(B106="","",'FORM. DE INSPEÇÃO'!N113)</f>
        <v/>
      </c>
      <c r="L106" s="149" t="str">
        <f>IF(B106="","",'FORM. DE INSPEÇÃO'!P113)</f>
        <v/>
      </c>
      <c r="M106" s="150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9"/>
        <v/>
      </c>
      <c r="C107" s="21" t="str">
        <f t="shared" si="10"/>
        <v/>
      </c>
      <c r="D107" s="21" t="str">
        <f t="shared" si="11"/>
        <v/>
      </c>
      <c r="E107" s="21" t="str">
        <f>'FORM. DE INSPEÇÃO'!L114</f>
        <v/>
      </c>
      <c r="F107" s="21" t="str">
        <f>'FORM. DE INSPEÇÃO'!M114</f>
        <v/>
      </c>
      <c r="G107" s="22" t="str">
        <f>IF(F107="","",'FORM. DE INSPEÇÃO'!G114&amp;"-"&amp;'FORM. DE INSPEÇÃO'!E114)</f>
        <v/>
      </c>
      <c r="H107" s="149" t="str">
        <f>IF(B107="","",'FORM. DE INSPEÇÃO'!R114)</f>
        <v/>
      </c>
      <c r="I107" s="149" t="str">
        <f>IF(B107="","",'FORM. DE INSPEÇÃO'!A114)</f>
        <v/>
      </c>
      <c r="J107" s="149" t="str">
        <f>IF(B107="","",'FORM. DE INSPEÇÃO'!J114:K114)</f>
        <v/>
      </c>
      <c r="K107" s="149" t="str">
        <f>IF(B107="","",'FORM. DE INSPEÇÃO'!N114)</f>
        <v/>
      </c>
      <c r="L107" s="149" t="str">
        <f>IF(B107="","",'FORM. DE INSPEÇÃO'!P114)</f>
        <v/>
      </c>
      <c r="M107" s="150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9"/>
        <v/>
      </c>
      <c r="C108" s="21" t="str">
        <f t="shared" si="10"/>
        <v/>
      </c>
      <c r="D108" s="21" t="str">
        <f t="shared" si="11"/>
        <v/>
      </c>
      <c r="E108" s="21" t="str">
        <f>'FORM. DE INSPEÇÃO'!L115</f>
        <v/>
      </c>
      <c r="F108" s="21" t="str">
        <f>'FORM. DE INSPEÇÃO'!M115</f>
        <v/>
      </c>
      <c r="G108" s="22" t="str">
        <f>IF(F108="","",'FORM. DE INSPEÇÃO'!G115&amp;"-"&amp;'FORM. DE INSPEÇÃO'!E115)</f>
        <v/>
      </c>
      <c r="H108" s="149" t="str">
        <f>IF(B108="","",'FORM. DE INSPEÇÃO'!R115)</f>
        <v/>
      </c>
      <c r="I108" s="149" t="str">
        <f>IF(B108="","",'FORM. DE INSPEÇÃO'!A115)</f>
        <v/>
      </c>
      <c r="J108" s="149" t="str">
        <f>IF(B108="","",'FORM. DE INSPEÇÃO'!J115:K115)</f>
        <v/>
      </c>
      <c r="K108" s="149" t="str">
        <f>IF(B108="","",'FORM. DE INSPEÇÃO'!N115)</f>
        <v/>
      </c>
      <c r="L108" s="149" t="str">
        <f>IF(B108="","",'FORM. DE INSPEÇÃO'!P115)</f>
        <v/>
      </c>
      <c r="M108" s="150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9"/>
        <v/>
      </c>
      <c r="C109" s="21" t="str">
        <f t="shared" si="10"/>
        <v/>
      </c>
      <c r="D109" s="21" t="str">
        <f t="shared" si="11"/>
        <v/>
      </c>
      <c r="E109" s="21" t="str">
        <f>'FORM. DE INSPEÇÃO'!L116</f>
        <v/>
      </c>
      <c r="F109" s="21" t="str">
        <f>'FORM. DE INSPEÇÃO'!M116</f>
        <v/>
      </c>
      <c r="G109" s="22" t="str">
        <f>IF(F109="","",'FORM. DE INSPEÇÃO'!G116&amp;"-"&amp;'FORM. DE INSPEÇÃO'!E116)</f>
        <v/>
      </c>
      <c r="H109" s="149" t="str">
        <f>IF(B109="","",'FORM. DE INSPEÇÃO'!R116)</f>
        <v/>
      </c>
      <c r="I109" s="149" t="str">
        <f>IF(B109="","",'FORM. DE INSPEÇÃO'!A116)</f>
        <v/>
      </c>
      <c r="J109" s="149" t="str">
        <f>IF(B109="","",'FORM. DE INSPEÇÃO'!J116:K116)</f>
        <v/>
      </c>
      <c r="K109" s="149" t="str">
        <f>IF(B109="","",'FORM. DE INSPEÇÃO'!N116)</f>
        <v/>
      </c>
      <c r="L109" s="149" t="str">
        <f>IF(B109="","",'FORM. DE INSPEÇÃO'!P116)</f>
        <v/>
      </c>
      <c r="M109" s="150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9"/>
        <v/>
      </c>
      <c r="C110" s="21" t="str">
        <f t="shared" si="10"/>
        <v/>
      </c>
      <c r="D110" s="21" t="str">
        <f t="shared" si="11"/>
        <v/>
      </c>
      <c r="E110" s="21" t="str">
        <f>'FORM. DE INSPEÇÃO'!L117</f>
        <v/>
      </c>
      <c r="F110" s="21" t="str">
        <f>'FORM. DE INSPEÇÃO'!M117</f>
        <v/>
      </c>
      <c r="G110" s="22" t="str">
        <f>IF(F110="","",'FORM. DE INSPEÇÃO'!G117&amp;"-"&amp;'FORM. DE INSPEÇÃO'!E117)</f>
        <v/>
      </c>
      <c r="H110" s="149" t="str">
        <f>IF(B110="","",'FORM. DE INSPEÇÃO'!R117)</f>
        <v/>
      </c>
      <c r="I110" s="149" t="str">
        <f>IF(B110="","",'FORM. DE INSPEÇÃO'!A117)</f>
        <v/>
      </c>
      <c r="J110" s="149" t="str">
        <f>IF(B110="","",'FORM. DE INSPEÇÃO'!J117:K117)</f>
        <v/>
      </c>
      <c r="K110" s="149" t="str">
        <f>IF(B110="","",'FORM. DE INSPEÇÃO'!N117)</f>
        <v/>
      </c>
      <c r="L110" s="149" t="str">
        <f>IF(B110="","",'FORM. DE INSPEÇÃO'!P117)</f>
        <v/>
      </c>
      <c r="M110" s="150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9"/>
        <v/>
      </c>
      <c r="C111" s="21" t="str">
        <f t="shared" si="10"/>
        <v/>
      </c>
      <c r="D111" s="21" t="str">
        <f t="shared" si="11"/>
        <v/>
      </c>
      <c r="E111" s="21" t="str">
        <f>'FORM. DE INSPEÇÃO'!L118</f>
        <v/>
      </c>
      <c r="F111" s="21" t="str">
        <f>'FORM. DE INSPEÇÃO'!M118</f>
        <v/>
      </c>
      <c r="G111" s="22" t="str">
        <f>IF(F111="","",'FORM. DE INSPEÇÃO'!G118&amp;"-"&amp;'FORM. DE INSPEÇÃO'!E118)</f>
        <v/>
      </c>
      <c r="H111" s="149" t="str">
        <f>IF(B111="","",'FORM. DE INSPEÇÃO'!R118)</f>
        <v/>
      </c>
      <c r="I111" s="149" t="str">
        <f>IF(B111="","",'FORM. DE INSPEÇÃO'!A118)</f>
        <v/>
      </c>
      <c r="J111" s="149" t="str">
        <f>IF(B111="","",'FORM. DE INSPEÇÃO'!J118:K118)</f>
        <v/>
      </c>
      <c r="K111" s="149" t="str">
        <f>IF(B111="","",'FORM. DE INSPEÇÃO'!N118)</f>
        <v/>
      </c>
      <c r="L111" s="149" t="str">
        <f>IF(B111="","",'FORM. DE INSPEÇÃO'!P118)</f>
        <v/>
      </c>
      <c r="M111" s="150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9"/>
        <v/>
      </c>
      <c r="C112" s="21" t="str">
        <f t="shared" si="10"/>
        <v/>
      </c>
      <c r="D112" s="21" t="str">
        <f t="shared" si="11"/>
        <v/>
      </c>
      <c r="E112" s="21" t="str">
        <f>'FORM. DE INSPEÇÃO'!L119</f>
        <v/>
      </c>
      <c r="F112" s="21" t="str">
        <f>'FORM. DE INSPEÇÃO'!M119</f>
        <v/>
      </c>
      <c r="G112" s="22" t="str">
        <f>IF(F112="","",'FORM. DE INSPEÇÃO'!G119&amp;"-"&amp;'FORM. DE INSPEÇÃO'!E119)</f>
        <v/>
      </c>
      <c r="H112" s="149" t="str">
        <f>IF(B112="","",'FORM. DE INSPEÇÃO'!R119)</f>
        <v/>
      </c>
      <c r="I112" s="149" t="str">
        <f>IF(B112="","",'FORM. DE INSPEÇÃO'!A119)</f>
        <v/>
      </c>
      <c r="J112" s="149" t="str">
        <f>IF(B112="","",'FORM. DE INSPEÇÃO'!J119:K119)</f>
        <v/>
      </c>
      <c r="K112" s="149" t="str">
        <f>IF(B112="","",'FORM. DE INSPEÇÃO'!N119)</f>
        <v/>
      </c>
      <c r="L112" s="149" t="str">
        <f>IF(B112="","",'FORM. DE INSPEÇÃO'!P119)</f>
        <v/>
      </c>
      <c r="M112" s="150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9"/>
        <v/>
      </c>
      <c r="C113" s="21" t="str">
        <f t="shared" si="10"/>
        <v/>
      </c>
      <c r="D113" s="21" t="str">
        <f t="shared" si="11"/>
        <v/>
      </c>
      <c r="E113" s="21" t="str">
        <f>'FORM. DE INSPEÇÃO'!L120</f>
        <v/>
      </c>
      <c r="F113" s="21" t="str">
        <f>'FORM. DE INSPEÇÃO'!M120</f>
        <v/>
      </c>
      <c r="G113" s="22" t="str">
        <f>IF(F113="","",'FORM. DE INSPEÇÃO'!G120&amp;"-"&amp;'FORM. DE INSPEÇÃO'!E120)</f>
        <v/>
      </c>
      <c r="H113" s="149" t="str">
        <f>IF(B113="","",'FORM. DE INSPEÇÃO'!R120)</f>
        <v/>
      </c>
      <c r="I113" s="149" t="str">
        <f>IF(B113="","",'FORM. DE INSPEÇÃO'!A120)</f>
        <v/>
      </c>
      <c r="J113" s="149" t="str">
        <f>IF(B113="","",'FORM. DE INSPEÇÃO'!J120:K120)</f>
        <v/>
      </c>
      <c r="K113" s="149" t="str">
        <f>IF(B113="","",'FORM. DE INSPEÇÃO'!N120)</f>
        <v/>
      </c>
      <c r="L113" s="149" t="str">
        <f>IF(B113="","",'FORM. DE INSPEÇÃO'!P120)</f>
        <v/>
      </c>
      <c r="M113" s="150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9"/>
        <v/>
      </c>
      <c r="C114" s="21" t="str">
        <f t="shared" si="10"/>
        <v/>
      </c>
      <c r="D114" s="21" t="str">
        <f t="shared" si="11"/>
        <v/>
      </c>
      <c r="E114" s="21" t="str">
        <f>'FORM. DE INSPEÇÃO'!L121</f>
        <v/>
      </c>
      <c r="F114" s="21" t="str">
        <f>'FORM. DE INSPEÇÃO'!M121</f>
        <v/>
      </c>
      <c r="G114" s="22" t="str">
        <f>IF(F114="","",'FORM. DE INSPEÇÃO'!G121&amp;"-"&amp;'FORM. DE INSPEÇÃO'!E121)</f>
        <v/>
      </c>
      <c r="H114" s="149" t="str">
        <f>IF(B114="","",'FORM. DE INSPEÇÃO'!R121)</f>
        <v/>
      </c>
      <c r="I114" s="149" t="str">
        <f>IF(B114="","",'FORM. DE INSPEÇÃO'!A121)</f>
        <v/>
      </c>
      <c r="J114" s="149" t="str">
        <f>IF(B114="","",'FORM. DE INSPEÇÃO'!J121:K121)</f>
        <v/>
      </c>
      <c r="K114" s="149" t="str">
        <f>IF(B114="","",'FORM. DE INSPEÇÃO'!N121)</f>
        <v/>
      </c>
      <c r="L114" s="149" t="str">
        <f>IF(B114="","",'FORM. DE INSPEÇÃO'!P121)</f>
        <v/>
      </c>
      <c r="M114" s="150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9"/>
        <v/>
      </c>
      <c r="C115" s="21" t="str">
        <f t="shared" si="10"/>
        <v/>
      </c>
      <c r="D115" s="21" t="str">
        <f t="shared" si="11"/>
        <v/>
      </c>
      <c r="E115" s="21" t="str">
        <f>'FORM. DE INSPEÇÃO'!L122</f>
        <v/>
      </c>
      <c r="F115" s="21" t="str">
        <f>'FORM. DE INSPEÇÃO'!M122</f>
        <v/>
      </c>
      <c r="G115" s="22" t="str">
        <f>IF(F115="","",'FORM. DE INSPEÇÃO'!G122&amp;"-"&amp;'FORM. DE INSPEÇÃO'!E122)</f>
        <v/>
      </c>
      <c r="H115" s="149" t="str">
        <f>IF(B115="","",'FORM. DE INSPEÇÃO'!R122)</f>
        <v/>
      </c>
      <c r="I115" s="149" t="str">
        <f>IF(B115="","",'FORM. DE INSPEÇÃO'!A122)</f>
        <v/>
      </c>
      <c r="J115" s="149" t="str">
        <f>IF(B115="","",'FORM. DE INSPEÇÃO'!J122:K122)</f>
        <v/>
      </c>
      <c r="K115" s="149" t="str">
        <f>IF(B115="","",'FORM. DE INSPEÇÃO'!N122)</f>
        <v/>
      </c>
      <c r="L115" s="149" t="str">
        <f>IF(B115="","",'FORM. DE INSPEÇÃO'!P122)</f>
        <v/>
      </c>
      <c r="M115" s="150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9"/>
        <v/>
      </c>
      <c r="C116" s="21" t="str">
        <f t="shared" si="10"/>
        <v/>
      </c>
      <c r="D116" s="21" t="str">
        <f t="shared" si="11"/>
        <v/>
      </c>
      <c r="E116" s="21" t="str">
        <f>'FORM. DE INSPEÇÃO'!L123</f>
        <v/>
      </c>
      <c r="F116" s="21" t="str">
        <f>'FORM. DE INSPEÇÃO'!M123</f>
        <v/>
      </c>
      <c r="G116" s="22" t="str">
        <f>IF(F116="","",'FORM. DE INSPEÇÃO'!G123&amp;"-"&amp;'FORM. DE INSPEÇÃO'!E123)</f>
        <v/>
      </c>
      <c r="H116" s="149" t="str">
        <f>IF(B116="","",'FORM. DE INSPEÇÃO'!R123)</f>
        <v/>
      </c>
      <c r="I116" s="149" t="str">
        <f>IF(B116="","",'FORM. DE INSPEÇÃO'!A123)</f>
        <v/>
      </c>
      <c r="J116" s="149" t="str">
        <f>IF(B116="","",'FORM. DE INSPEÇÃO'!J123:K123)</f>
        <v/>
      </c>
      <c r="K116" s="149" t="str">
        <f>IF(B116="","",'FORM. DE INSPEÇÃO'!N123)</f>
        <v/>
      </c>
      <c r="L116" s="149" t="str">
        <f>IF(B116="","",'FORM. DE INSPEÇÃO'!P123)</f>
        <v/>
      </c>
      <c r="M116" s="150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9"/>
        <v/>
      </c>
      <c r="C117" s="21" t="str">
        <f t="shared" si="10"/>
        <v/>
      </c>
      <c r="D117" s="21" t="str">
        <f t="shared" si="11"/>
        <v/>
      </c>
      <c r="E117" s="21" t="str">
        <f>'FORM. DE INSPEÇÃO'!L124</f>
        <v/>
      </c>
      <c r="F117" s="21" t="str">
        <f>'FORM. DE INSPEÇÃO'!M124</f>
        <v/>
      </c>
      <c r="G117" s="22" t="str">
        <f>IF(F117="","",'FORM. DE INSPEÇÃO'!G124&amp;"-"&amp;'FORM. DE INSPEÇÃO'!E124)</f>
        <v/>
      </c>
      <c r="H117" s="149" t="str">
        <f>IF(B117="","",'FORM. DE INSPEÇÃO'!R124)</f>
        <v/>
      </c>
      <c r="I117" s="149" t="str">
        <f>IF(B117="","",'FORM. DE INSPEÇÃO'!A124)</f>
        <v/>
      </c>
      <c r="J117" s="149" t="str">
        <f>IF(B117="","",'FORM. DE INSPEÇÃO'!J124:K124)</f>
        <v/>
      </c>
      <c r="K117" s="149" t="str">
        <f>IF(B117="","",'FORM. DE INSPEÇÃO'!N124)</f>
        <v/>
      </c>
      <c r="L117" s="149" t="str">
        <f>IF(B117="","",'FORM. DE INSPEÇÃO'!P124)</f>
        <v/>
      </c>
      <c r="M117" s="150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9"/>
        <v/>
      </c>
      <c r="C118" s="21" t="str">
        <f t="shared" si="10"/>
        <v/>
      </c>
      <c r="D118" s="21" t="str">
        <f t="shared" si="11"/>
        <v/>
      </c>
      <c r="E118" s="21" t="str">
        <f>'FORM. DE INSPEÇÃO'!L125</f>
        <v/>
      </c>
      <c r="F118" s="21" t="str">
        <f>'FORM. DE INSPEÇÃO'!M125</f>
        <v/>
      </c>
      <c r="G118" s="22" t="str">
        <f>IF(F118="","",'FORM. DE INSPEÇÃO'!G125&amp;"-"&amp;'FORM. DE INSPEÇÃO'!E125)</f>
        <v/>
      </c>
      <c r="H118" s="149" t="str">
        <f>IF(B118="","",'FORM. DE INSPEÇÃO'!R125)</f>
        <v/>
      </c>
      <c r="I118" s="149" t="str">
        <f>IF(B118="","",'FORM. DE INSPEÇÃO'!A125)</f>
        <v/>
      </c>
      <c r="J118" s="149" t="str">
        <f>IF(B118="","",'FORM. DE INSPEÇÃO'!J125:K125)</f>
        <v/>
      </c>
      <c r="K118" s="149" t="str">
        <f>IF(B118="","",'FORM. DE INSPEÇÃO'!N125)</f>
        <v/>
      </c>
      <c r="L118" s="149" t="str">
        <f>IF(B118="","",'FORM. DE INSPEÇÃO'!P125)</f>
        <v/>
      </c>
      <c r="M118" s="150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9"/>
        <v/>
      </c>
      <c r="C119" s="21" t="str">
        <f t="shared" si="10"/>
        <v/>
      </c>
      <c r="D119" s="21" t="str">
        <f t="shared" si="11"/>
        <v/>
      </c>
      <c r="E119" s="21" t="str">
        <f>'FORM. DE INSPEÇÃO'!L126</f>
        <v/>
      </c>
      <c r="F119" s="21" t="str">
        <f>'FORM. DE INSPEÇÃO'!M126</f>
        <v/>
      </c>
      <c r="G119" s="22" t="str">
        <f>IF(F119="","",'FORM. DE INSPEÇÃO'!G126&amp;"-"&amp;'FORM. DE INSPEÇÃO'!E126)</f>
        <v/>
      </c>
      <c r="H119" s="149" t="str">
        <f>IF(B119="","",'FORM. DE INSPEÇÃO'!R126)</f>
        <v/>
      </c>
      <c r="I119" s="149" t="str">
        <f>IF(B119="","",'FORM. DE INSPEÇÃO'!A126)</f>
        <v/>
      </c>
      <c r="J119" s="149" t="str">
        <f>IF(B119="","",'FORM. DE INSPEÇÃO'!J126:K126)</f>
        <v/>
      </c>
      <c r="K119" s="149" t="str">
        <f>IF(B119="","",'FORM. DE INSPEÇÃO'!N126)</f>
        <v/>
      </c>
      <c r="L119" s="149" t="str">
        <f>IF(B119="","",'FORM. DE INSPEÇÃO'!P126)</f>
        <v/>
      </c>
      <c r="M119" s="150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9"/>
        <v/>
      </c>
      <c r="C120" s="21" t="str">
        <f t="shared" si="10"/>
        <v/>
      </c>
      <c r="D120" s="21" t="str">
        <f t="shared" si="11"/>
        <v/>
      </c>
      <c r="E120" s="21" t="str">
        <f>'FORM. DE INSPEÇÃO'!L127</f>
        <v/>
      </c>
      <c r="F120" s="21" t="str">
        <f>'FORM. DE INSPEÇÃO'!M127</f>
        <v/>
      </c>
      <c r="G120" s="22" t="str">
        <f>IF(F120="","",'FORM. DE INSPEÇÃO'!G127&amp;"-"&amp;'FORM. DE INSPEÇÃO'!E127)</f>
        <v/>
      </c>
      <c r="H120" s="149" t="str">
        <f>IF(B120="","",'FORM. DE INSPEÇÃO'!R127)</f>
        <v/>
      </c>
      <c r="I120" s="149" t="str">
        <f>IF(B120="","",'FORM. DE INSPEÇÃO'!A127)</f>
        <v/>
      </c>
      <c r="J120" s="149" t="str">
        <f>IF(B120="","",'FORM. DE INSPEÇÃO'!J127:K127)</f>
        <v/>
      </c>
      <c r="K120" s="149" t="str">
        <f>IF(B120="","",'FORM. DE INSPEÇÃO'!N127)</f>
        <v/>
      </c>
      <c r="L120" s="149" t="str">
        <f>IF(B120="","",'FORM. DE INSPEÇÃO'!P127)</f>
        <v/>
      </c>
      <c r="M120" s="150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9"/>
        <v/>
      </c>
      <c r="C121" s="21" t="str">
        <f t="shared" si="10"/>
        <v/>
      </c>
      <c r="D121" s="21" t="str">
        <f t="shared" si="11"/>
        <v/>
      </c>
      <c r="E121" s="21" t="str">
        <f>'FORM. DE INSPEÇÃO'!L128</f>
        <v/>
      </c>
      <c r="F121" s="21" t="str">
        <f>'FORM. DE INSPEÇÃO'!M128</f>
        <v/>
      </c>
      <c r="G121" s="22" t="str">
        <f>IF(F121="","",'FORM. DE INSPEÇÃO'!G128&amp;"-"&amp;'FORM. DE INSPEÇÃO'!E128)</f>
        <v/>
      </c>
      <c r="H121" s="149" t="str">
        <f>IF(B121="","",'FORM. DE INSPEÇÃO'!R128)</f>
        <v/>
      </c>
      <c r="I121" s="149" t="str">
        <f>IF(B121="","",'FORM. DE INSPEÇÃO'!A128)</f>
        <v/>
      </c>
      <c r="J121" s="149" t="str">
        <f>IF(B121="","",'FORM. DE INSPEÇÃO'!J128:K128)</f>
        <v/>
      </c>
      <c r="K121" s="149" t="str">
        <f>IF(B121="","",'FORM. DE INSPEÇÃO'!N128)</f>
        <v/>
      </c>
      <c r="L121" s="149" t="str">
        <f>IF(B121="","",'FORM. DE INSPEÇÃO'!P128)</f>
        <v/>
      </c>
      <c r="M121" s="150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9"/>
        <v/>
      </c>
      <c r="C122" s="21" t="str">
        <f t="shared" si="10"/>
        <v/>
      </c>
      <c r="D122" s="21" t="str">
        <f t="shared" si="11"/>
        <v/>
      </c>
      <c r="E122" s="21" t="str">
        <f>'FORM. DE INSPEÇÃO'!L129</f>
        <v/>
      </c>
      <c r="F122" s="21" t="str">
        <f>'FORM. DE INSPEÇÃO'!M129</f>
        <v/>
      </c>
      <c r="G122" s="22" t="str">
        <f>IF(F122="","",'FORM. DE INSPEÇÃO'!G129&amp;"-"&amp;'FORM. DE INSPEÇÃO'!E129)</f>
        <v/>
      </c>
      <c r="H122" s="149" t="str">
        <f>IF(B122="","",'FORM. DE INSPEÇÃO'!R129)</f>
        <v/>
      </c>
      <c r="I122" s="149" t="str">
        <f>IF(B122="","",'FORM. DE INSPEÇÃO'!A129)</f>
        <v/>
      </c>
      <c r="J122" s="149" t="str">
        <f>IF(B122="","",'FORM. DE INSPEÇÃO'!J129:K129)</f>
        <v/>
      </c>
      <c r="K122" s="149" t="str">
        <f>IF(B122="","",'FORM. DE INSPEÇÃO'!N129)</f>
        <v/>
      </c>
      <c r="L122" s="149" t="str">
        <f>IF(B122="","",'FORM. DE INSPEÇÃO'!P129)</f>
        <v/>
      </c>
      <c r="M122" s="150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9"/>
        <v/>
      </c>
      <c r="C123" s="21" t="str">
        <f t="shared" si="10"/>
        <v/>
      </c>
      <c r="D123" s="21" t="str">
        <f t="shared" si="11"/>
        <v/>
      </c>
      <c r="E123" s="21" t="str">
        <f>'FORM. DE INSPEÇÃO'!L130</f>
        <v/>
      </c>
      <c r="F123" s="21" t="str">
        <f>'FORM. DE INSPEÇÃO'!M130</f>
        <v/>
      </c>
      <c r="G123" s="22" t="str">
        <f>IF(F123="","",'FORM. DE INSPEÇÃO'!G130&amp;"-"&amp;'FORM. DE INSPEÇÃO'!E130)</f>
        <v/>
      </c>
      <c r="H123" s="149" t="str">
        <f>IF(B123="","",'FORM. DE INSPEÇÃO'!R130)</f>
        <v/>
      </c>
      <c r="I123" s="149" t="str">
        <f>IF(B123="","",'FORM. DE INSPEÇÃO'!A130)</f>
        <v/>
      </c>
      <c r="J123" s="149" t="str">
        <f>IF(B123="","",'FORM. DE INSPEÇÃO'!J130:K130)</f>
        <v/>
      </c>
      <c r="K123" s="149" t="str">
        <f>IF(B123="","",'FORM. DE INSPEÇÃO'!N130)</f>
        <v/>
      </c>
      <c r="L123" s="149" t="str">
        <f>IF(B123="","",'FORM. DE INSPEÇÃO'!P130)</f>
        <v/>
      </c>
      <c r="M123" s="150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9"/>
        <v/>
      </c>
      <c r="C124" s="21" t="str">
        <f t="shared" si="10"/>
        <v/>
      </c>
      <c r="D124" s="21" t="str">
        <f t="shared" si="11"/>
        <v/>
      </c>
      <c r="E124" s="21" t="str">
        <f>'FORM. DE INSPEÇÃO'!L131</f>
        <v/>
      </c>
      <c r="F124" s="21" t="str">
        <f>'FORM. DE INSPEÇÃO'!M131</f>
        <v/>
      </c>
      <c r="G124" s="22" t="str">
        <f>IF(F124="","",'FORM. DE INSPEÇÃO'!G131&amp;"-"&amp;'FORM. DE INSPEÇÃO'!E131)</f>
        <v/>
      </c>
      <c r="H124" s="149" t="str">
        <f>IF(B124="","",'FORM. DE INSPEÇÃO'!R131)</f>
        <v/>
      </c>
      <c r="I124" s="149" t="str">
        <f>IF(B124="","",'FORM. DE INSPEÇÃO'!A131)</f>
        <v/>
      </c>
      <c r="J124" s="149" t="str">
        <f>IF(B124="","",'FORM. DE INSPEÇÃO'!J131:K131)</f>
        <v/>
      </c>
      <c r="K124" s="149" t="str">
        <f>IF(B124="","",'FORM. DE INSPEÇÃO'!N131)</f>
        <v/>
      </c>
      <c r="L124" s="149" t="str">
        <f>IF(B124="","",'FORM. DE INSPEÇÃO'!P131)</f>
        <v/>
      </c>
      <c r="M124" s="150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9"/>
        <v/>
      </c>
      <c r="C125" s="21" t="str">
        <f t="shared" si="10"/>
        <v/>
      </c>
      <c r="D125" s="21" t="str">
        <f t="shared" si="11"/>
        <v/>
      </c>
      <c r="E125" s="21" t="str">
        <f>'FORM. DE INSPEÇÃO'!L132</f>
        <v/>
      </c>
      <c r="F125" s="21" t="str">
        <f>'FORM. DE INSPEÇÃO'!M132</f>
        <v/>
      </c>
      <c r="G125" s="22" t="str">
        <f>IF(F125="","",'FORM. DE INSPEÇÃO'!G132&amp;"-"&amp;'FORM. DE INSPEÇÃO'!E132)</f>
        <v/>
      </c>
      <c r="H125" s="149" t="str">
        <f>IF(B125="","",'FORM. DE INSPEÇÃO'!R132)</f>
        <v/>
      </c>
      <c r="I125" s="149" t="str">
        <f>IF(B125="","",'FORM. DE INSPEÇÃO'!A132)</f>
        <v/>
      </c>
      <c r="J125" s="149" t="str">
        <f>IF(B125="","",'FORM. DE INSPEÇÃO'!J132:K132)</f>
        <v/>
      </c>
      <c r="K125" s="149" t="str">
        <f>IF(B125="","",'FORM. DE INSPEÇÃO'!N132)</f>
        <v/>
      </c>
      <c r="L125" s="149" t="str">
        <f>IF(B125="","",'FORM. DE INSPEÇÃO'!P132)</f>
        <v/>
      </c>
      <c r="M125" s="150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9"/>
        <v/>
      </c>
      <c r="C126" s="21" t="str">
        <f t="shared" si="10"/>
        <v/>
      </c>
      <c r="D126" s="21" t="str">
        <f t="shared" si="11"/>
        <v/>
      </c>
      <c r="E126" s="21" t="str">
        <f>'FORM. DE INSPEÇÃO'!L133</f>
        <v/>
      </c>
      <c r="F126" s="21" t="str">
        <f>'FORM. DE INSPEÇÃO'!M133</f>
        <v/>
      </c>
      <c r="G126" s="22" t="str">
        <f>IF(F126="","",'FORM. DE INSPEÇÃO'!G133&amp;"-"&amp;'FORM. DE INSPEÇÃO'!E133)</f>
        <v/>
      </c>
      <c r="H126" s="149" t="str">
        <f>IF(B126="","",'FORM. DE INSPEÇÃO'!R133)</f>
        <v/>
      </c>
      <c r="I126" s="149" t="str">
        <f>IF(B126="","",'FORM. DE INSPEÇÃO'!A133)</f>
        <v/>
      </c>
      <c r="J126" s="149" t="str">
        <f>IF(B126="","",'FORM. DE INSPEÇÃO'!J133:K133)</f>
        <v/>
      </c>
      <c r="K126" s="149" t="str">
        <f>IF(B126="","",'FORM. DE INSPEÇÃO'!N133)</f>
        <v/>
      </c>
      <c r="L126" s="149" t="str">
        <f>IF(B126="","",'FORM. DE INSPEÇÃO'!P133)</f>
        <v/>
      </c>
      <c r="M126" s="150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9"/>
        <v/>
      </c>
      <c r="C127" s="21" t="str">
        <f t="shared" si="10"/>
        <v/>
      </c>
      <c r="D127" s="21" t="str">
        <f t="shared" si="11"/>
        <v/>
      </c>
      <c r="E127" s="21" t="str">
        <f>'FORM. DE INSPEÇÃO'!L134</f>
        <v/>
      </c>
      <c r="F127" s="21" t="str">
        <f>'FORM. DE INSPEÇÃO'!M134</f>
        <v/>
      </c>
      <c r="G127" s="22" t="str">
        <f>IF(F127="","",'FORM. DE INSPEÇÃO'!G134&amp;"-"&amp;'FORM. DE INSPEÇÃO'!E134)</f>
        <v/>
      </c>
      <c r="H127" s="149" t="str">
        <f>IF(B127="","",'FORM. DE INSPEÇÃO'!R134)</f>
        <v/>
      </c>
      <c r="I127" s="149" t="str">
        <f>IF(B127="","",'FORM. DE INSPEÇÃO'!A134)</f>
        <v/>
      </c>
      <c r="J127" s="149" t="str">
        <f>IF(B127="","",'FORM. DE INSPEÇÃO'!J134:K134)</f>
        <v/>
      </c>
      <c r="K127" s="149" t="str">
        <f>IF(B127="","",'FORM. DE INSPEÇÃO'!N134)</f>
        <v/>
      </c>
      <c r="L127" s="149" t="str">
        <f>IF(B127="","",'FORM. DE INSPEÇÃO'!P134)</f>
        <v/>
      </c>
      <c r="M127" s="150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9"/>
        <v/>
      </c>
      <c r="C128" s="21" t="str">
        <f t="shared" si="10"/>
        <v/>
      </c>
      <c r="D128" s="21" t="str">
        <f t="shared" si="11"/>
        <v/>
      </c>
      <c r="E128" s="21" t="str">
        <f>'FORM. DE INSPEÇÃO'!L135</f>
        <v/>
      </c>
      <c r="F128" s="21" t="str">
        <f>'FORM. DE INSPEÇÃO'!M135</f>
        <v/>
      </c>
      <c r="G128" s="22" t="str">
        <f>IF(F128="","",'FORM. DE INSPEÇÃO'!G135&amp;"-"&amp;'FORM. DE INSPEÇÃO'!E135)</f>
        <v/>
      </c>
      <c r="H128" s="149" t="str">
        <f>IF(B128="","",'FORM. DE INSPEÇÃO'!R135)</f>
        <v/>
      </c>
      <c r="I128" s="149" t="str">
        <f>IF(B128="","",'FORM. DE INSPEÇÃO'!A135)</f>
        <v/>
      </c>
      <c r="J128" s="149" t="str">
        <f>IF(B128="","",'FORM. DE INSPEÇÃO'!J135:K135)</f>
        <v/>
      </c>
      <c r="K128" s="149" t="str">
        <f>IF(B128="","",'FORM. DE INSPEÇÃO'!N135)</f>
        <v/>
      </c>
      <c r="L128" s="149" t="str">
        <f>IF(B128="","",'FORM. DE INSPEÇÃO'!P135)</f>
        <v/>
      </c>
      <c r="M128" s="150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9"/>
        <v/>
      </c>
      <c r="C129" s="21" t="str">
        <f t="shared" si="10"/>
        <v/>
      </c>
      <c r="D129" s="21" t="str">
        <f t="shared" si="11"/>
        <v/>
      </c>
      <c r="E129" s="21" t="str">
        <f>'FORM. DE INSPEÇÃO'!L136</f>
        <v/>
      </c>
      <c r="F129" s="21" t="str">
        <f>'FORM. DE INSPEÇÃO'!M136</f>
        <v/>
      </c>
      <c r="G129" s="22" t="str">
        <f>IF(F129="","",'FORM. DE INSPEÇÃO'!G136&amp;"-"&amp;'FORM. DE INSPEÇÃO'!E136)</f>
        <v/>
      </c>
      <c r="H129" s="149" t="str">
        <f>IF(B129="","",'FORM. DE INSPEÇÃO'!R136)</f>
        <v/>
      </c>
      <c r="I129" s="149" t="str">
        <f>IF(B129="","",'FORM. DE INSPEÇÃO'!A136)</f>
        <v/>
      </c>
      <c r="J129" s="149" t="str">
        <f>IF(B129="","",'FORM. DE INSPEÇÃO'!J136:K136)</f>
        <v/>
      </c>
      <c r="K129" s="149" t="str">
        <f>IF(B129="","",'FORM. DE INSPEÇÃO'!N136)</f>
        <v/>
      </c>
      <c r="L129" s="149" t="str">
        <f>IF(B129="","",'FORM. DE INSPEÇÃO'!P136)</f>
        <v/>
      </c>
      <c r="M129" s="150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61" si="12">IF(E130="","","LT")</f>
        <v/>
      </c>
      <c r="C130" s="21" t="str">
        <f t="shared" ref="C130:C161" si="13">IF(E130="","",LEFT(E130,2))</f>
        <v/>
      </c>
      <c r="D130" s="21" t="str">
        <f t="shared" ref="D130:D161" si="14">B130&amp;C130</f>
        <v/>
      </c>
      <c r="E130" s="21" t="str">
        <f>'FORM. DE INSPEÇÃO'!L137</f>
        <v/>
      </c>
      <c r="F130" s="21" t="str">
        <f>'FORM. DE INSPEÇÃO'!M137</f>
        <v/>
      </c>
      <c r="G130" s="22" t="str">
        <f>IF(F130="","",'FORM. DE INSPEÇÃO'!G137&amp;"-"&amp;'FORM. DE INSPEÇÃO'!E137)</f>
        <v/>
      </c>
      <c r="H130" s="149" t="str">
        <f>IF(B130="","",'FORM. DE INSPEÇÃO'!R137)</f>
        <v/>
      </c>
      <c r="I130" s="149" t="str">
        <f>IF(B130="","",'FORM. DE INSPEÇÃO'!A137)</f>
        <v/>
      </c>
      <c r="J130" s="149" t="str">
        <f>IF(B130="","",'FORM. DE INSPEÇÃO'!J137:K137)</f>
        <v/>
      </c>
      <c r="K130" s="149" t="str">
        <f>IF(B130="","",'FORM. DE INSPEÇÃO'!N137)</f>
        <v/>
      </c>
      <c r="L130" s="149" t="str">
        <f>IF(B130="","",'FORM. DE INSPEÇÃO'!P137)</f>
        <v/>
      </c>
      <c r="M130" s="150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12"/>
        <v/>
      </c>
      <c r="C131" s="21" t="str">
        <f t="shared" si="13"/>
        <v/>
      </c>
      <c r="D131" s="21" t="str">
        <f t="shared" si="14"/>
        <v/>
      </c>
      <c r="E131" s="21" t="str">
        <f>'FORM. DE INSPEÇÃO'!L138</f>
        <v/>
      </c>
      <c r="F131" s="21" t="str">
        <f>'FORM. DE INSPEÇÃO'!M138</f>
        <v/>
      </c>
      <c r="G131" s="22" t="str">
        <f>IF(F131="","",'FORM. DE INSPEÇÃO'!G138&amp;"-"&amp;'FORM. DE INSPEÇÃO'!E138)</f>
        <v/>
      </c>
      <c r="H131" s="149" t="str">
        <f>IF(B131="","",'FORM. DE INSPEÇÃO'!R138)</f>
        <v/>
      </c>
      <c r="I131" s="149" t="str">
        <f>IF(B131="","",'FORM. DE INSPEÇÃO'!A138)</f>
        <v/>
      </c>
      <c r="J131" s="149" t="str">
        <f>IF(B131="","",'FORM. DE INSPEÇÃO'!J138:K138)</f>
        <v/>
      </c>
      <c r="K131" s="149" t="str">
        <f>IF(B131="","",'FORM. DE INSPEÇÃO'!N138)</f>
        <v/>
      </c>
      <c r="L131" s="149" t="str">
        <f>IF(B131="","",'FORM. DE INSPEÇÃO'!P138)</f>
        <v/>
      </c>
      <c r="M131" s="150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12"/>
        <v/>
      </c>
      <c r="C132" s="21" t="str">
        <f t="shared" si="13"/>
        <v/>
      </c>
      <c r="D132" s="21" t="str">
        <f t="shared" si="14"/>
        <v/>
      </c>
      <c r="E132" s="21" t="str">
        <f>'FORM. DE INSPEÇÃO'!L139</f>
        <v/>
      </c>
      <c r="F132" s="21" t="str">
        <f>'FORM. DE INSPEÇÃO'!M139</f>
        <v/>
      </c>
      <c r="G132" s="22" t="str">
        <f>IF(F132="","",'FORM. DE INSPEÇÃO'!G139&amp;"-"&amp;'FORM. DE INSPEÇÃO'!E139)</f>
        <v/>
      </c>
      <c r="H132" s="149" t="str">
        <f>IF(B132="","",'FORM. DE INSPEÇÃO'!R139)</f>
        <v/>
      </c>
      <c r="I132" s="149" t="str">
        <f>IF(B132="","",'FORM. DE INSPEÇÃO'!A139)</f>
        <v/>
      </c>
      <c r="J132" s="149" t="str">
        <f>IF(B132="","",'FORM. DE INSPEÇÃO'!J139:K139)</f>
        <v/>
      </c>
      <c r="K132" s="149" t="str">
        <f>IF(B132="","",'FORM. DE INSPEÇÃO'!N139)</f>
        <v/>
      </c>
      <c r="L132" s="149" t="str">
        <f>IF(B132="","",'FORM. DE INSPEÇÃO'!P139)</f>
        <v/>
      </c>
      <c r="M132" s="150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12"/>
        <v/>
      </c>
      <c r="C133" s="21" t="str">
        <f t="shared" si="13"/>
        <v/>
      </c>
      <c r="D133" s="21" t="str">
        <f t="shared" si="14"/>
        <v/>
      </c>
      <c r="E133" s="21" t="str">
        <f>'FORM. DE INSPEÇÃO'!L140</f>
        <v/>
      </c>
      <c r="F133" s="21" t="str">
        <f>'FORM. DE INSPEÇÃO'!M140</f>
        <v/>
      </c>
      <c r="G133" s="22" t="str">
        <f>IF(F133="","",'FORM. DE INSPEÇÃO'!G140&amp;"-"&amp;'FORM. DE INSPEÇÃO'!E140)</f>
        <v/>
      </c>
      <c r="H133" s="149" t="str">
        <f>IF(B133="","",'FORM. DE INSPEÇÃO'!R140)</f>
        <v/>
      </c>
      <c r="I133" s="149" t="str">
        <f>IF(B133="","",'FORM. DE INSPEÇÃO'!A140)</f>
        <v/>
      </c>
      <c r="J133" s="149" t="str">
        <f>IF(B133="","",'FORM. DE INSPEÇÃO'!J140:K140)</f>
        <v/>
      </c>
      <c r="K133" s="149" t="str">
        <f>IF(B133="","",'FORM. DE INSPEÇÃO'!N140)</f>
        <v/>
      </c>
      <c r="L133" s="149" t="str">
        <f>IF(B133="","",'FORM. DE INSPEÇÃO'!P140)</f>
        <v/>
      </c>
      <c r="M133" s="150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12"/>
        <v/>
      </c>
      <c r="C134" s="21" t="str">
        <f t="shared" si="13"/>
        <v/>
      </c>
      <c r="D134" s="21" t="str">
        <f t="shared" si="14"/>
        <v/>
      </c>
      <c r="E134" s="21" t="str">
        <f>'FORM. DE INSPEÇÃO'!L141</f>
        <v/>
      </c>
      <c r="F134" s="21" t="str">
        <f>'FORM. DE INSPEÇÃO'!M141</f>
        <v/>
      </c>
      <c r="G134" s="22" t="str">
        <f>IF(F134="","",'FORM. DE INSPEÇÃO'!G141&amp;"-"&amp;'FORM. DE INSPEÇÃO'!E141)</f>
        <v/>
      </c>
      <c r="H134" s="149" t="str">
        <f>IF(B134="","",'FORM. DE INSPEÇÃO'!R141)</f>
        <v/>
      </c>
      <c r="I134" s="149" t="str">
        <f>IF(B134="","",'FORM. DE INSPEÇÃO'!A141)</f>
        <v/>
      </c>
      <c r="J134" s="149" t="str">
        <f>IF(B134="","",'FORM. DE INSPEÇÃO'!J141:K141)</f>
        <v/>
      </c>
      <c r="K134" s="149" t="str">
        <f>IF(B134="","",'FORM. DE INSPEÇÃO'!N141)</f>
        <v/>
      </c>
      <c r="L134" s="149" t="str">
        <f>IF(B134="","",'FORM. DE INSPEÇÃO'!P141)</f>
        <v/>
      </c>
      <c r="M134" s="150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12"/>
        <v/>
      </c>
      <c r="C135" s="21" t="str">
        <f t="shared" si="13"/>
        <v/>
      </c>
      <c r="D135" s="21" t="str">
        <f t="shared" si="14"/>
        <v/>
      </c>
      <c r="E135" s="21" t="str">
        <f>'FORM. DE INSPEÇÃO'!L142</f>
        <v/>
      </c>
      <c r="F135" s="21" t="str">
        <f>'FORM. DE INSPEÇÃO'!M142</f>
        <v/>
      </c>
      <c r="G135" s="22" t="str">
        <f>IF(F135="","",'FORM. DE INSPEÇÃO'!G142&amp;"-"&amp;'FORM. DE INSPEÇÃO'!E142)</f>
        <v/>
      </c>
      <c r="H135" s="149" t="str">
        <f>IF(B135="","",'FORM. DE INSPEÇÃO'!R142)</f>
        <v/>
      </c>
      <c r="I135" s="149" t="str">
        <f>IF(B135="","",'FORM. DE INSPEÇÃO'!A142)</f>
        <v/>
      </c>
      <c r="J135" s="149" t="str">
        <f>IF(B135="","",'FORM. DE INSPEÇÃO'!J142:K142)</f>
        <v/>
      </c>
      <c r="K135" s="149" t="str">
        <f>IF(B135="","",'FORM. DE INSPEÇÃO'!N142)</f>
        <v/>
      </c>
      <c r="L135" s="149" t="str">
        <f>IF(B135="","",'FORM. DE INSPEÇÃO'!P142)</f>
        <v/>
      </c>
      <c r="M135" s="150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12"/>
        <v/>
      </c>
      <c r="C136" s="21" t="str">
        <f t="shared" si="13"/>
        <v/>
      </c>
      <c r="D136" s="21" t="str">
        <f t="shared" si="14"/>
        <v/>
      </c>
      <c r="E136" s="21" t="str">
        <f>'FORM. DE INSPEÇÃO'!L143</f>
        <v/>
      </c>
      <c r="F136" s="21" t="str">
        <f>'FORM. DE INSPEÇÃO'!M143</f>
        <v/>
      </c>
      <c r="G136" s="22" t="str">
        <f>IF(F136="","",'FORM. DE INSPEÇÃO'!G143&amp;"-"&amp;'FORM. DE INSPEÇÃO'!E143)</f>
        <v/>
      </c>
      <c r="H136" s="149" t="str">
        <f>IF(B136="","",'FORM. DE INSPEÇÃO'!R143)</f>
        <v/>
      </c>
      <c r="I136" s="149" t="str">
        <f>IF(B136="","",'FORM. DE INSPEÇÃO'!A143)</f>
        <v/>
      </c>
      <c r="J136" s="149" t="str">
        <f>IF(B136="","",'FORM. DE INSPEÇÃO'!J143:K143)</f>
        <v/>
      </c>
      <c r="K136" s="149" t="str">
        <f>IF(B136="","",'FORM. DE INSPEÇÃO'!N143)</f>
        <v/>
      </c>
      <c r="L136" s="149" t="str">
        <f>IF(B136="","",'FORM. DE INSPEÇÃO'!P143)</f>
        <v/>
      </c>
      <c r="M136" s="150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12"/>
        <v/>
      </c>
      <c r="C137" s="21" t="str">
        <f t="shared" si="13"/>
        <v/>
      </c>
      <c r="D137" s="21" t="str">
        <f t="shared" si="14"/>
        <v/>
      </c>
      <c r="E137" s="21" t="str">
        <f>'FORM. DE INSPEÇÃO'!L144</f>
        <v/>
      </c>
      <c r="F137" s="21" t="str">
        <f>'FORM. DE INSPEÇÃO'!M144</f>
        <v/>
      </c>
      <c r="G137" s="22" t="str">
        <f>IF(F137="","",'FORM. DE INSPEÇÃO'!G144&amp;"-"&amp;'FORM. DE INSPEÇÃO'!E144)</f>
        <v/>
      </c>
      <c r="H137" s="149" t="str">
        <f>IF(B137="","",'FORM. DE INSPEÇÃO'!R144)</f>
        <v/>
      </c>
      <c r="I137" s="149" t="str">
        <f>IF(B137="","",'FORM. DE INSPEÇÃO'!A144)</f>
        <v/>
      </c>
      <c r="J137" s="149" t="str">
        <f>IF(B137="","",'FORM. DE INSPEÇÃO'!J144:K144)</f>
        <v/>
      </c>
      <c r="K137" s="149" t="str">
        <f>IF(B137="","",'FORM. DE INSPEÇÃO'!N144)</f>
        <v/>
      </c>
      <c r="L137" s="149" t="str">
        <f>IF(B137="","",'FORM. DE INSPEÇÃO'!P144)</f>
        <v/>
      </c>
      <c r="M137" s="150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12"/>
        <v/>
      </c>
      <c r="C138" s="21" t="str">
        <f t="shared" si="13"/>
        <v/>
      </c>
      <c r="D138" s="21" t="str">
        <f t="shared" si="14"/>
        <v/>
      </c>
      <c r="E138" s="21" t="str">
        <f>'FORM. DE INSPEÇÃO'!L145</f>
        <v/>
      </c>
      <c r="F138" s="21" t="str">
        <f>'FORM. DE INSPEÇÃO'!M145</f>
        <v/>
      </c>
      <c r="G138" s="22" t="str">
        <f>IF(F138="","",'FORM. DE INSPEÇÃO'!G145&amp;"-"&amp;'FORM. DE INSPEÇÃO'!E145)</f>
        <v/>
      </c>
      <c r="H138" s="149" t="str">
        <f>IF(B138="","",'FORM. DE INSPEÇÃO'!R145)</f>
        <v/>
      </c>
      <c r="I138" s="149" t="str">
        <f>IF(B138="","",'FORM. DE INSPEÇÃO'!A145)</f>
        <v/>
      </c>
      <c r="J138" s="149" t="str">
        <f>IF(B138="","",'FORM. DE INSPEÇÃO'!J145:K145)</f>
        <v/>
      </c>
      <c r="K138" s="149" t="str">
        <f>IF(B138="","",'FORM. DE INSPEÇÃO'!N145)</f>
        <v/>
      </c>
      <c r="L138" s="149" t="str">
        <f>IF(B138="","",'FORM. DE INSPEÇÃO'!P145)</f>
        <v/>
      </c>
      <c r="M138" s="150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12"/>
        <v/>
      </c>
      <c r="C139" s="21" t="str">
        <f t="shared" si="13"/>
        <v/>
      </c>
      <c r="D139" s="21" t="str">
        <f t="shared" si="14"/>
        <v/>
      </c>
      <c r="E139" s="21" t="str">
        <f>'FORM. DE INSPEÇÃO'!L146</f>
        <v/>
      </c>
      <c r="F139" s="21" t="str">
        <f>'FORM. DE INSPEÇÃO'!M146</f>
        <v/>
      </c>
      <c r="G139" s="22" t="str">
        <f>IF(F139="","",'FORM. DE INSPEÇÃO'!G146&amp;"-"&amp;'FORM. DE INSPEÇÃO'!E146)</f>
        <v/>
      </c>
      <c r="H139" s="149" t="str">
        <f>IF(B139="","",'FORM. DE INSPEÇÃO'!R146)</f>
        <v/>
      </c>
      <c r="I139" s="149" t="str">
        <f>IF(B139="","",'FORM. DE INSPEÇÃO'!A146)</f>
        <v/>
      </c>
      <c r="J139" s="149" t="str">
        <f>IF(B139="","",'FORM. DE INSPEÇÃO'!J146:K146)</f>
        <v/>
      </c>
      <c r="K139" s="149" t="str">
        <f>IF(B139="","",'FORM. DE INSPEÇÃO'!N146)</f>
        <v/>
      </c>
      <c r="L139" s="149" t="str">
        <f>IF(B139="","",'FORM. DE INSPEÇÃO'!P146)</f>
        <v/>
      </c>
      <c r="M139" s="150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12"/>
        <v/>
      </c>
      <c r="C140" s="21" t="str">
        <f t="shared" si="13"/>
        <v/>
      </c>
      <c r="D140" s="21" t="str">
        <f t="shared" si="14"/>
        <v/>
      </c>
      <c r="E140" s="21" t="str">
        <f>'FORM. DE INSPEÇÃO'!L147</f>
        <v/>
      </c>
      <c r="F140" s="21" t="str">
        <f>'FORM. DE INSPEÇÃO'!M147</f>
        <v/>
      </c>
      <c r="G140" s="22" t="str">
        <f>IF(F140="","",'FORM. DE INSPEÇÃO'!G147&amp;"-"&amp;'FORM. DE INSPEÇÃO'!E147)</f>
        <v/>
      </c>
      <c r="H140" s="149" t="str">
        <f>IF(B140="","",'FORM. DE INSPEÇÃO'!R147)</f>
        <v/>
      </c>
      <c r="I140" s="149" t="str">
        <f>IF(B140="","",'FORM. DE INSPEÇÃO'!A147)</f>
        <v/>
      </c>
      <c r="J140" s="149" t="str">
        <f>IF(B140="","",'FORM. DE INSPEÇÃO'!J147:K147)</f>
        <v/>
      </c>
      <c r="K140" s="149" t="str">
        <f>IF(B140="","",'FORM. DE INSPEÇÃO'!N147)</f>
        <v/>
      </c>
      <c r="L140" s="149" t="str">
        <f>IF(B140="","",'FORM. DE INSPEÇÃO'!P147)</f>
        <v/>
      </c>
      <c r="M140" s="150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12"/>
        <v/>
      </c>
      <c r="C141" s="21" t="str">
        <f t="shared" si="13"/>
        <v/>
      </c>
      <c r="D141" s="21" t="str">
        <f t="shared" si="14"/>
        <v/>
      </c>
      <c r="E141" s="21" t="str">
        <f>'FORM. DE INSPEÇÃO'!L148</f>
        <v/>
      </c>
      <c r="F141" s="21" t="str">
        <f>'FORM. DE INSPEÇÃO'!M148</f>
        <v/>
      </c>
      <c r="G141" s="22" t="str">
        <f>IF(F141="","",'FORM. DE INSPEÇÃO'!G148&amp;"-"&amp;'FORM. DE INSPEÇÃO'!E148)</f>
        <v/>
      </c>
      <c r="H141" s="149" t="str">
        <f>IF(B141="","",'FORM. DE INSPEÇÃO'!R148)</f>
        <v/>
      </c>
      <c r="I141" s="149" t="str">
        <f>IF(B141="","",'FORM. DE INSPEÇÃO'!A148)</f>
        <v/>
      </c>
      <c r="J141" s="149" t="str">
        <f>IF(B141="","",'FORM. DE INSPEÇÃO'!J148:K148)</f>
        <v/>
      </c>
      <c r="K141" s="149" t="str">
        <f>IF(B141="","",'FORM. DE INSPEÇÃO'!N148)</f>
        <v/>
      </c>
      <c r="L141" s="149" t="str">
        <f>IF(B141="","",'FORM. DE INSPEÇÃO'!P148)</f>
        <v/>
      </c>
      <c r="M141" s="150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12"/>
        <v/>
      </c>
      <c r="C142" s="21" t="str">
        <f t="shared" si="13"/>
        <v/>
      </c>
      <c r="D142" s="21" t="str">
        <f t="shared" si="14"/>
        <v/>
      </c>
      <c r="E142" s="21" t="str">
        <f>'FORM. DE INSPEÇÃO'!L149</f>
        <v/>
      </c>
      <c r="F142" s="21" t="str">
        <f>'FORM. DE INSPEÇÃO'!M149</f>
        <v/>
      </c>
      <c r="G142" s="22" t="str">
        <f>IF(F142="","",'FORM. DE INSPEÇÃO'!G149&amp;"-"&amp;'FORM. DE INSPEÇÃO'!E149)</f>
        <v/>
      </c>
      <c r="H142" s="149" t="str">
        <f>IF(B142="","",'FORM. DE INSPEÇÃO'!R149)</f>
        <v/>
      </c>
      <c r="I142" s="149" t="str">
        <f>IF(B142="","",'FORM. DE INSPEÇÃO'!A149)</f>
        <v/>
      </c>
      <c r="J142" s="149" t="str">
        <f>IF(B142="","",'FORM. DE INSPEÇÃO'!J149:K149)</f>
        <v/>
      </c>
      <c r="K142" s="149" t="str">
        <f>IF(B142="","",'FORM. DE INSPEÇÃO'!N149)</f>
        <v/>
      </c>
      <c r="L142" s="149" t="str">
        <f>IF(B142="","",'FORM. DE INSPEÇÃO'!P149)</f>
        <v/>
      </c>
      <c r="M142" s="150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12"/>
        <v/>
      </c>
      <c r="C143" s="21" t="str">
        <f t="shared" si="13"/>
        <v/>
      </c>
      <c r="D143" s="21" t="str">
        <f t="shared" si="14"/>
        <v/>
      </c>
      <c r="E143" s="21" t="str">
        <f>'FORM. DE INSPEÇÃO'!L150</f>
        <v/>
      </c>
      <c r="F143" s="21" t="str">
        <f>'FORM. DE INSPEÇÃO'!M150</f>
        <v/>
      </c>
      <c r="G143" s="22" t="str">
        <f>IF(F143="","",'FORM. DE INSPEÇÃO'!G150&amp;"-"&amp;'FORM. DE INSPEÇÃO'!E150)</f>
        <v/>
      </c>
      <c r="H143" s="149" t="str">
        <f>IF(B143="","",'FORM. DE INSPEÇÃO'!R150)</f>
        <v/>
      </c>
      <c r="I143" s="149" t="str">
        <f>IF(B143="","",'FORM. DE INSPEÇÃO'!A150)</f>
        <v/>
      </c>
      <c r="J143" s="149" t="str">
        <f>IF(B143="","",'FORM. DE INSPEÇÃO'!J150:K150)</f>
        <v/>
      </c>
      <c r="K143" s="149" t="str">
        <f>IF(B143="","",'FORM. DE INSPEÇÃO'!N150)</f>
        <v/>
      </c>
      <c r="L143" s="149" t="str">
        <f>IF(B143="","",'FORM. DE INSPEÇÃO'!P150)</f>
        <v/>
      </c>
      <c r="M143" s="150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12"/>
        <v/>
      </c>
      <c r="C144" s="21" t="str">
        <f t="shared" si="13"/>
        <v/>
      </c>
      <c r="D144" s="21" t="str">
        <f t="shared" si="14"/>
        <v/>
      </c>
      <c r="E144" s="21" t="str">
        <f>'FORM. DE INSPEÇÃO'!L151</f>
        <v/>
      </c>
      <c r="F144" s="21" t="str">
        <f>'FORM. DE INSPEÇÃO'!M151</f>
        <v/>
      </c>
      <c r="G144" s="22" t="str">
        <f>IF(F144="","",'FORM. DE INSPEÇÃO'!G151&amp;"-"&amp;'FORM. DE INSPEÇÃO'!E151)</f>
        <v/>
      </c>
      <c r="H144" s="149" t="str">
        <f>IF(B144="","",'FORM. DE INSPEÇÃO'!R151)</f>
        <v/>
      </c>
      <c r="I144" s="149" t="str">
        <f>IF(B144="","",'FORM. DE INSPEÇÃO'!A151)</f>
        <v/>
      </c>
      <c r="J144" s="149" t="str">
        <f>IF(B144="","",'FORM. DE INSPEÇÃO'!J151:K151)</f>
        <v/>
      </c>
      <c r="K144" s="149" t="str">
        <f>IF(B144="","",'FORM. DE INSPEÇÃO'!N151)</f>
        <v/>
      </c>
      <c r="L144" s="149" t="str">
        <f>IF(B144="","",'FORM. DE INSPEÇÃO'!P151)</f>
        <v/>
      </c>
      <c r="M144" s="150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12"/>
        <v/>
      </c>
      <c r="C145" s="21" t="str">
        <f t="shared" si="13"/>
        <v/>
      </c>
      <c r="D145" s="21" t="str">
        <f t="shared" si="14"/>
        <v/>
      </c>
      <c r="E145" s="21" t="str">
        <f>'FORM. DE INSPEÇÃO'!L152</f>
        <v/>
      </c>
      <c r="F145" s="21" t="str">
        <f>'FORM. DE INSPEÇÃO'!M152</f>
        <v/>
      </c>
      <c r="G145" s="22" t="str">
        <f>IF(F145="","",'FORM. DE INSPEÇÃO'!G152&amp;"-"&amp;'FORM. DE INSPEÇÃO'!E152)</f>
        <v/>
      </c>
      <c r="H145" s="149" t="str">
        <f>IF(B145="","",'FORM. DE INSPEÇÃO'!R152)</f>
        <v/>
      </c>
      <c r="I145" s="149" t="str">
        <f>IF(B145="","",'FORM. DE INSPEÇÃO'!A152)</f>
        <v/>
      </c>
      <c r="J145" s="149" t="str">
        <f>IF(B145="","",'FORM. DE INSPEÇÃO'!J152:K152)</f>
        <v/>
      </c>
      <c r="K145" s="149" t="str">
        <f>IF(B145="","",'FORM. DE INSPEÇÃO'!N152)</f>
        <v/>
      </c>
      <c r="L145" s="149" t="str">
        <f>IF(B145="","",'FORM. DE INSPEÇÃO'!P152)</f>
        <v/>
      </c>
      <c r="M145" s="150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12"/>
        <v/>
      </c>
      <c r="C146" s="21" t="str">
        <f t="shared" si="13"/>
        <v/>
      </c>
      <c r="D146" s="21" t="str">
        <f t="shared" si="14"/>
        <v/>
      </c>
      <c r="E146" s="21" t="str">
        <f>'FORM. DE INSPEÇÃO'!L153</f>
        <v/>
      </c>
      <c r="F146" s="21" t="str">
        <f>'FORM. DE INSPEÇÃO'!M153</f>
        <v/>
      </c>
      <c r="G146" s="22" t="str">
        <f>IF(F146="","",'FORM. DE INSPEÇÃO'!G153&amp;"-"&amp;'FORM. DE INSPEÇÃO'!E153)</f>
        <v/>
      </c>
      <c r="H146" s="149" t="str">
        <f>IF(B146="","",'FORM. DE INSPEÇÃO'!R153)</f>
        <v/>
      </c>
      <c r="I146" s="149" t="str">
        <f>IF(B146="","",'FORM. DE INSPEÇÃO'!A153)</f>
        <v/>
      </c>
      <c r="J146" s="149" t="str">
        <f>IF(B146="","",'FORM. DE INSPEÇÃO'!J153:K153)</f>
        <v/>
      </c>
      <c r="K146" s="149" t="str">
        <f>IF(B146="","",'FORM. DE INSPEÇÃO'!N153)</f>
        <v/>
      </c>
      <c r="L146" s="149" t="str">
        <f>IF(B146="","",'FORM. DE INSPEÇÃO'!P153)</f>
        <v/>
      </c>
      <c r="M146" s="150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12"/>
        <v/>
      </c>
      <c r="C147" s="21" t="str">
        <f t="shared" si="13"/>
        <v/>
      </c>
      <c r="D147" s="21" t="str">
        <f t="shared" si="14"/>
        <v/>
      </c>
      <c r="E147" s="21" t="str">
        <f>'FORM. DE INSPEÇÃO'!L154</f>
        <v/>
      </c>
      <c r="F147" s="21" t="str">
        <f>'FORM. DE INSPEÇÃO'!M154</f>
        <v/>
      </c>
      <c r="G147" s="22" t="str">
        <f>IF(F147="","",'FORM. DE INSPEÇÃO'!G154&amp;"-"&amp;'FORM. DE INSPEÇÃO'!E154)</f>
        <v/>
      </c>
      <c r="H147" s="149" t="str">
        <f>IF(B147="","",'FORM. DE INSPEÇÃO'!R154)</f>
        <v/>
      </c>
      <c r="I147" s="149" t="str">
        <f>IF(B147="","",'FORM. DE INSPEÇÃO'!A154)</f>
        <v/>
      </c>
      <c r="J147" s="149" t="str">
        <f>IF(B147="","",'FORM. DE INSPEÇÃO'!J154:K154)</f>
        <v/>
      </c>
      <c r="K147" s="149" t="str">
        <f>IF(B147="","",'FORM. DE INSPEÇÃO'!N154)</f>
        <v/>
      </c>
      <c r="L147" s="149" t="str">
        <f>IF(B147="","",'FORM. DE INSPEÇÃO'!P154)</f>
        <v/>
      </c>
      <c r="M147" s="150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12"/>
        <v/>
      </c>
      <c r="C148" s="21" t="str">
        <f t="shared" si="13"/>
        <v/>
      </c>
      <c r="D148" s="21" t="str">
        <f t="shared" si="14"/>
        <v/>
      </c>
      <c r="E148" s="21" t="str">
        <f>'FORM. DE INSPEÇÃO'!L155</f>
        <v/>
      </c>
      <c r="F148" s="21" t="str">
        <f>'FORM. DE INSPEÇÃO'!M155</f>
        <v/>
      </c>
      <c r="G148" s="22" t="str">
        <f>IF(F148="","",'FORM. DE INSPEÇÃO'!G155&amp;"-"&amp;'FORM. DE INSPEÇÃO'!E155)</f>
        <v/>
      </c>
      <c r="H148" s="149" t="str">
        <f>IF(B148="","",'FORM. DE INSPEÇÃO'!R155)</f>
        <v/>
      </c>
      <c r="I148" s="149" t="str">
        <f>IF(B148="","",'FORM. DE INSPEÇÃO'!A155)</f>
        <v/>
      </c>
      <c r="J148" s="149" t="str">
        <f>IF(B148="","",'FORM. DE INSPEÇÃO'!J155:K155)</f>
        <v/>
      </c>
      <c r="K148" s="149" t="str">
        <f>IF(B148="","",'FORM. DE INSPEÇÃO'!N155)</f>
        <v/>
      </c>
      <c r="L148" s="149" t="str">
        <f>IF(B148="","",'FORM. DE INSPEÇÃO'!P155)</f>
        <v/>
      </c>
      <c r="M148" s="150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12"/>
        <v/>
      </c>
      <c r="C149" s="21" t="str">
        <f t="shared" si="13"/>
        <v/>
      </c>
      <c r="D149" s="21" t="str">
        <f t="shared" si="14"/>
        <v/>
      </c>
      <c r="E149" s="21" t="str">
        <f>'FORM. DE INSPEÇÃO'!L156</f>
        <v/>
      </c>
      <c r="F149" s="21" t="str">
        <f>'FORM. DE INSPEÇÃO'!M156</f>
        <v/>
      </c>
      <c r="G149" s="22" t="str">
        <f>IF(F149="","",'FORM. DE INSPEÇÃO'!G156&amp;"-"&amp;'FORM. DE INSPEÇÃO'!E156)</f>
        <v/>
      </c>
      <c r="H149" s="149" t="str">
        <f>IF(B149="","",'FORM. DE INSPEÇÃO'!R156)</f>
        <v/>
      </c>
      <c r="I149" s="149" t="str">
        <f>IF(B149="","",'FORM. DE INSPEÇÃO'!A156)</f>
        <v/>
      </c>
      <c r="J149" s="149" t="str">
        <f>IF(B149="","",'FORM. DE INSPEÇÃO'!J156:K156)</f>
        <v/>
      </c>
      <c r="K149" s="149" t="str">
        <f>IF(B149="","",'FORM. DE INSPEÇÃO'!N156)</f>
        <v/>
      </c>
      <c r="L149" s="149" t="str">
        <f>IF(B149="","",'FORM. DE INSPEÇÃO'!P156)</f>
        <v/>
      </c>
      <c r="M149" s="150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12"/>
        <v/>
      </c>
      <c r="C150" s="21" t="str">
        <f t="shared" si="13"/>
        <v/>
      </c>
      <c r="D150" s="21" t="str">
        <f t="shared" si="14"/>
        <v/>
      </c>
      <c r="E150" s="21" t="str">
        <f>'FORM. DE INSPEÇÃO'!L157</f>
        <v/>
      </c>
      <c r="F150" s="21" t="str">
        <f>'FORM. DE INSPEÇÃO'!M157</f>
        <v/>
      </c>
      <c r="G150" s="22" t="str">
        <f>IF(F150="","",'FORM. DE INSPEÇÃO'!G157&amp;"-"&amp;'FORM. DE INSPEÇÃO'!E157)</f>
        <v/>
      </c>
      <c r="H150" s="149" t="str">
        <f>IF(B150="","",'FORM. DE INSPEÇÃO'!R157)</f>
        <v/>
      </c>
      <c r="I150" s="149" t="str">
        <f>IF(B150="","",'FORM. DE INSPEÇÃO'!A157)</f>
        <v/>
      </c>
      <c r="J150" s="149" t="str">
        <f>IF(B150="","",'FORM. DE INSPEÇÃO'!J157:K157)</f>
        <v/>
      </c>
      <c r="K150" s="149" t="str">
        <f>IF(B150="","",'FORM. DE INSPEÇÃO'!N157)</f>
        <v/>
      </c>
      <c r="L150" s="149" t="str">
        <f>IF(B150="","",'FORM. DE INSPEÇÃO'!P157)</f>
        <v/>
      </c>
      <c r="M150" s="150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12"/>
        <v/>
      </c>
      <c r="C151" s="21" t="str">
        <f t="shared" si="13"/>
        <v/>
      </c>
      <c r="D151" s="21" t="str">
        <f t="shared" si="14"/>
        <v/>
      </c>
      <c r="E151" s="21" t="str">
        <f>'FORM. DE INSPEÇÃO'!L158</f>
        <v/>
      </c>
      <c r="F151" s="21" t="str">
        <f>'FORM. DE INSPEÇÃO'!M158</f>
        <v/>
      </c>
      <c r="G151" s="22" t="str">
        <f>IF(F151="","",'FORM. DE INSPEÇÃO'!G158&amp;"-"&amp;'FORM. DE INSPEÇÃO'!E158)</f>
        <v/>
      </c>
      <c r="H151" s="149" t="str">
        <f>IF(B151="","",'FORM. DE INSPEÇÃO'!R158)</f>
        <v/>
      </c>
      <c r="I151" s="149" t="str">
        <f>IF(B151="","",'FORM. DE INSPEÇÃO'!A158)</f>
        <v/>
      </c>
      <c r="J151" s="149" t="str">
        <f>IF(B151="","",'FORM. DE INSPEÇÃO'!J158:K158)</f>
        <v/>
      </c>
      <c r="K151" s="149" t="str">
        <f>IF(B151="","",'FORM. DE INSPEÇÃO'!N158)</f>
        <v/>
      </c>
      <c r="L151" s="149" t="str">
        <f>IF(B151="","",'FORM. DE INSPEÇÃO'!P158)</f>
        <v/>
      </c>
      <c r="M151" s="150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12"/>
        <v/>
      </c>
      <c r="C152" s="21" t="str">
        <f t="shared" si="13"/>
        <v/>
      </c>
      <c r="D152" s="21" t="str">
        <f t="shared" si="14"/>
        <v/>
      </c>
      <c r="E152" s="21" t="str">
        <f>'FORM. DE INSPEÇÃO'!L159</f>
        <v/>
      </c>
      <c r="F152" s="21" t="str">
        <f>'FORM. DE INSPEÇÃO'!M159</f>
        <v/>
      </c>
      <c r="G152" s="22" t="str">
        <f>IF(F152="","",'FORM. DE INSPEÇÃO'!G159&amp;"-"&amp;'FORM. DE INSPEÇÃO'!E159)</f>
        <v/>
      </c>
      <c r="H152" s="149" t="str">
        <f>IF(B152="","",'FORM. DE INSPEÇÃO'!R159)</f>
        <v/>
      </c>
      <c r="I152" s="149" t="str">
        <f>IF(B152="","",'FORM. DE INSPEÇÃO'!A159)</f>
        <v/>
      </c>
      <c r="J152" s="149" t="str">
        <f>IF(B152="","",'FORM. DE INSPEÇÃO'!J159:K159)</f>
        <v/>
      </c>
      <c r="K152" s="149" t="str">
        <f>IF(B152="","",'FORM. DE INSPEÇÃO'!N159)</f>
        <v/>
      </c>
      <c r="L152" s="149" t="str">
        <f>IF(B152="","",'FORM. DE INSPEÇÃO'!P159)</f>
        <v/>
      </c>
      <c r="M152" s="150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12"/>
        <v/>
      </c>
      <c r="C153" s="21" t="str">
        <f t="shared" si="13"/>
        <v/>
      </c>
      <c r="D153" s="21" t="str">
        <f t="shared" si="14"/>
        <v/>
      </c>
      <c r="E153" s="21" t="str">
        <f>'FORM. DE INSPEÇÃO'!L160</f>
        <v/>
      </c>
      <c r="F153" s="21" t="str">
        <f>'FORM. DE INSPEÇÃO'!M160</f>
        <v/>
      </c>
      <c r="G153" s="22" t="str">
        <f>IF(F153="","",'FORM. DE INSPEÇÃO'!G160&amp;"-"&amp;'FORM. DE INSPEÇÃO'!E160)</f>
        <v/>
      </c>
      <c r="H153" s="149" t="str">
        <f>IF(B153="","",'FORM. DE INSPEÇÃO'!R160)</f>
        <v/>
      </c>
      <c r="I153" s="149" t="str">
        <f>IF(B153="","",'FORM. DE INSPEÇÃO'!A160)</f>
        <v/>
      </c>
      <c r="J153" s="149" t="str">
        <f>IF(B153="","",'FORM. DE INSPEÇÃO'!J160:K160)</f>
        <v/>
      </c>
      <c r="K153" s="149" t="str">
        <f>IF(B153="","",'FORM. DE INSPEÇÃO'!N160)</f>
        <v/>
      </c>
      <c r="L153" s="149" t="str">
        <f>IF(B153="","",'FORM. DE INSPEÇÃO'!P160)</f>
        <v/>
      </c>
      <c r="M153" s="150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12"/>
        <v/>
      </c>
      <c r="C154" s="21" t="str">
        <f t="shared" si="13"/>
        <v/>
      </c>
      <c r="D154" s="21" t="str">
        <f t="shared" si="14"/>
        <v/>
      </c>
      <c r="E154" s="21" t="str">
        <f>'FORM. DE INSPEÇÃO'!L161</f>
        <v/>
      </c>
      <c r="F154" s="21" t="str">
        <f>'FORM. DE INSPEÇÃO'!M161</f>
        <v/>
      </c>
      <c r="G154" s="22" t="str">
        <f>IF(F154="","",'FORM. DE INSPEÇÃO'!G161&amp;"-"&amp;'FORM. DE INSPEÇÃO'!E161)</f>
        <v/>
      </c>
      <c r="H154" s="149" t="str">
        <f>IF(B154="","",'FORM. DE INSPEÇÃO'!R161)</f>
        <v/>
      </c>
      <c r="I154" s="149" t="str">
        <f>IF(B154="","",'FORM. DE INSPEÇÃO'!A161)</f>
        <v/>
      </c>
      <c r="J154" s="149" t="str">
        <f>IF(B154="","",'FORM. DE INSPEÇÃO'!J161:K161)</f>
        <v/>
      </c>
      <c r="K154" s="149" t="str">
        <f>IF(B154="","",'FORM. DE INSPEÇÃO'!N161)</f>
        <v/>
      </c>
      <c r="L154" s="149" t="str">
        <f>IF(B154="","",'FORM. DE INSPEÇÃO'!P161)</f>
        <v/>
      </c>
      <c r="M154" s="150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12"/>
        <v/>
      </c>
      <c r="C155" s="21" t="str">
        <f t="shared" si="13"/>
        <v/>
      </c>
      <c r="D155" s="21" t="str">
        <f t="shared" si="14"/>
        <v/>
      </c>
      <c r="E155" s="21" t="str">
        <f>'FORM. DE INSPEÇÃO'!L162</f>
        <v/>
      </c>
      <c r="F155" s="21" t="str">
        <f>'FORM. DE INSPEÇÃO'!M162</f>
        <v/>
      </c>
      <c r="G155" s="22" t="str">
        <f>IF(F155="","",'FORM. DE INSPEÇÃO'!G162&amp;"-"&amp;'FORM. DE INSPEÇÃO'!E162)</f>
        <v/>
      </c>
      <c r="H155" s="149" t="str">
        <f>IF(B155="","",'FORM. DE INSPEÇÃO'!R162)</f>
        <v/>
      </c>
      <c r="I155" s="149" t="str">
        <f>IF(B155="","",'FORM. DE INSPEÇÃO'!A162)</f>
        <v/>
      </c>
      <c r="J155" s="149" t="str">
        <f>IF(B155="","",'FORM. DE INSPEÇÃO'!J162:K162)</f>
        <v/>
      </c>
      <c r="K155" s="149" t="str">
        <f>IF(B155="","",'FORM. DE INSPEÇÃO'!N162)</f>
        <v/>
      </c>
      <c r="L155" s="149" t="str">
        <f>IF(B155="","",'FORM. DE INSPEÇÃO'!P162)</f>
        <v/>
      </c>
      <c r="M155" s="150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12"/>
        <v/>
      </c>
      <c r="C156" s="21" t="str">
        <f t="shared" si="13"/>
        <v/>
      </c>
      <c r="D156" s="21" t="str">
        <f t="shared" si="14"/>
        <v/>
      </c>
      <c r="E156" s="21" t="str">
        <f>'FORM. DE INSPEÇÃO'!L163</f>
        <v/>
      </c>
      <c r="F156" s="21" t="str">
        <f>'FORM. DE INSPEÇÃO'!M163</f>
        <v/>
      </c>
      <c r="G156" s="22" t="str">
        <f>IF(F156="","",'FORM. DE INSPEÇÃO'!G163&amp;"-"&amp;'FORM. DE INSPEÇÃO'!E163)</f>
        <v/>
      </c>
      <c r="H156" s="149" t="str">
        <f>IF(B156="","",'FORM. DE INSPEÇÃO'!R163)</f>
        <v/>
      </c>
      <c r="I156" s="149" t="str">
        <f>IF(B156="","",'FORM. DE INSPEÇÃO'!A163)</f>
        <v/>
      </c>
      <c r="J156" s="149" t="str">
        <f>IF(B156="","",'FORM. DE INSPEÇÃO'!J163:K163)</f>
        <v/>
      </c>
      <c r="K156" s="149" t="str">
        <f>IF(B156="","",'FORM. DE INSPEÇÃO'!N163)</f>
        <v/>
      </c>
      <c r="L156" s="149" t="str">
        <f>IF(B156="","",'FORM. DE INSPEÇÃO'!P163)</f>
        <v/>
      </c>
      <c r="M156" s="150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12"/>
        <v/>
      </c>
      <c r="C157" s="21" t="str">
        <f t="shared" si="13"/>
        <v/>
      </c>
      <c r="D157" s="21" t="str">
        <f t="shared" si="14"/>
        <v/>
      </c>
      <c r="E157" s="21" t="str">
        <f>'FORM. DE INSPEÇÃO'!L164</f>
        <v/>
      </c>
      <c r="F157" s="21" t="str">
        <f>'FORM. DE INSPEÇÃO'!M164</f>
        <v/>
      </c>
      <c r="G157" s="22" t="str">
        <f>IF(F157="","",'FORM. DE INSPEÇÃO'!G164&amp;"-"&amp;'FORM. DE INSPEÇÃO'!E164)</f>
        <v/>
      </c>
      <c r="H157" s="149" t="str">
        <f>IF(B157="","",'FORM. DE INSPEÇÃO'!R164)</f>
        <v/>
      </c>
      <c r="I157" s="149" t="str">
        <f>IF(B157="","",'FORM. DE INSPEÇÃO'!A164)</f>
        <v/>
      </c>
      <c r="J157" s="149" t="str">
        <f>IF(B157="","",'FORM. DE INSPEÇÃO'!J164:K164)</f>
        <v/>
      </c>
      <c r="K157" s="149" t="str">
        <f>IF(B157="","",'FORM. DE INSPEÇÃO'!N164)</f>
        <v/>
      </c>
      <c r="L157" s="149" t="str">
        <f>IF(B157="","",'FORM. DE INSPEÇÃO'!P164)</f>
        <v/>
      </c>
      <c r="M157" s="150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12"/>
        <v/>
      </c>
      <c r="C158" s="21" t="str">
        <f t="shared" si="13"/>
        <v/>
      </c>
      <c r="D158" s="21" t="str">
        <f t="shared" si="14"/>
        <v/>
      </c>
      <c r="E158" s="21" t="str">
        <f>'FORM. DE INSPEÇÃO'!L165</f>
        <v/>
      </c>
      <c r="F158" s="21" t="str">
        <f>'FORM. DE INSPEÇÃO'!M165</f>
        <v/>
      </c>
      <c r="G158" s="22" t="str">
        <f>IF(F158="","",'FORM. DE INSPEÇÃO'!G165&amp;"-"&amp;'FORM. DE INSPEÇÃO'!E165)</f>
        <v/>
      </c>
      <c r="H158" s="149" t="str">
        <f>IF(B158="","",'FORM. DE INSPEÇÃO'!R165)</f>
        <v/>
      </c>
      <c r="I158" s="149" t="str">
        <f>IF(B158="","",'FORM. DE INSPEÇÃO'!A165)</f>
        <v/>
      </c>
      <c r="J158" s="149" t="str">
        <f>IF(B158="","",'FORM. DE INSPEÇÃO'!J165:K165)</f>
        <v/>
      </c>
      <c r="K158" s="149" t="str">
        <f>IF(B158="","",'FORM. DE INSPEÇÃO'!N165)</f>
        <v/>
      </c>
      <c r="L158" s="149" t="str">
        <f>IF(B158="","",'FORM. DE INSPEÇÃO'!P165)</f>
        <v/>
      </c>
      <c r="M158" s="150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12"/>
        <v/>
      </c>
      <c r="C159" s="21" t="str">
        <f t="shared" si="13"/>
        <v/>
      </c>
      <c r="D159" s="21" t="str">
        <f t="shared" si="14"/>
        <v/>
      </c>
      <c r="E159" s="21" t="str">
        <f>'FORM. DE INSPEÇÃO'!L166</f>
        <v/>
      </c>
      <c r="F159" s="21" t="str">
        <f>'FORM. DE INSPEÇÃO'!M166</f>
        <v/>
      </c>
      <c r="G159" s="22" t="str">
        <f>IF(F159="","",'FORM. DE INSPEÇÃO'!G166&amp;"-"&amp;'FORM. DE INSPEÇÃO'!E166)</f>
        <v/>
      </c>
      <c r="H159" s="149" t="str">
        <f>IF(B159="","",'FORM. DE INSPEÇÃO'!R166)</f>
        <v/>
      </c>
      <c r="I159" s="149" t="str">
        <f>IF(B159="","",'FORM. DE INSPEÇÃO'!A166)</f>
        <v/>
      </c>
      <c r="J159" s="149" t="str">
        <f>IF(B159="","",'FORM. DE INSPEÇÃO'!J166:K166)</f>
        <v/>
      </c>
      <c r="K159" s="149" t="str">
        <f>IF(B159="","",'FORM. DE INSPEÇÃO'!N166)</f>
        <v/>
      </c>
      <c r="L159" s="149" t="str">
        <f>IF(B159="","",'FORM. DE INSPEÇÃO'!P166)</f>
        <v/>
      </c>
      <c r="M159" s="150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12"/>
        <v/>
      </c>
      <c r="C160" s="21" t="str">
        <f t="shared" si="13"/>
        <v/>
      </c>
      <c r="D160" s="21" t="str">
        <f t="shared" si="14"/>
        <v/>
      </c>
      <c r="E160" s="21" t="str">
        <f>'FORM. DE INSPEÇÃO'!L167</f>
        <v/>
      </c>
      <c r="F160" s="21" t="str">
        <f>'FORM. DE INSPEÇÃO'!M167</f>
        <v/>
      </c>
      <c r="G160" s="22" t="str">
        <f>IF(F160="","",'FORM. DE INSPEÇÃO'!G167&amp;"-"&amp;'FORM. DE INSPEÇÃO'!E167)</f>
        <v/>
      </c>
      <c r="H160" s="149" t="str">
        <f>IF(B160="","",'FORM. DE INSPEÇÃO'!R167)</f>
        <v/>
      </c>
      <c r="I160" s="149" t="str">
        <f>IF(B160="","",'FORM. DE INSPEÇÃO'!A167)</f>
        <v/>
      </c>
      <c r="J160" s="149" t="str">
        <f>IF(B160="","",'FORM. DE INSPEÇÃO'!J167:K167)</f>
        <v/>
      </c>
      <c r="K160" s="149" t="str">
        <f>IF(B160="","",'FORM. DE INSPEÇÃO'!N167)</f>
        <v/>
      </c>
      <c r="L160" s="149" t="str">
        <f>IF(B160="","",'FORM. DE INSPEÇÃO'!P167)</f>
        <v/>
      </c>
      <c r="M160" s="150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12"/>
        <v/>
      </c>
      <c r="C161" s="21" t="str">
        <f t="shared" si="13"/>
        <v/>
      </c>
      <c r="D161" s="21" t="str">
        <f t="shared" si="14"/>
        <v/>
      </c>
      <c r="E161" s="21" t="str">
        <f>'FORM. DE INSPEÇÃO'!L168</f>
        <v/>
      </c>
      <c r="F161" s="21" t="str">
        <f>'FORM. DE INSPEÇÃO'!M168</f>
        <v/>
      </c>
      <c r="G161" s="22" t="str">
        <f>IF(F161="","",'FORM. DE INSPEÇÃO'!G168&amp;"-"&amp;'FORM. DE INSPEÇÃO'!E168)</f>
        <v/>
      </c>
      <c r="H161" s="149" t="str">
        <f>IF(B161="","",'FORM. DE INSPEÇÃO'!R168)</f>
        <v/>
      </c>
      <c r="I161" s="149" t="str">
        <f>IF(B161="","",'FORM. DE INSPEÇÃO'!A168)</f>
        <v/>
      </c>
      <c r="J161" s="149" t="str">
        <f>IF(B161="","",'FORM. DE INSPEÇÃO'!J168:K168)</f>
        <v/>
      </c>
      <c r="K161" s="149" t="str">
        <f>IF(B161="","",'FORM. DE INSPEÇÃO'!N168)</f>
        <v/>
      </c>
      <c r="L161" s="149" t="str">
        <f>IF(B161="","",'FORM. DE INSPEÇÃO'!P168)</f>
        <v/>
      </c>
      <c r="M161" s="150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ref="B162:B190" si="15">IF(E162="","","LT")</f>
        <v/>
      </c>
      <c r="C162" s="21" t="str">
        <f t="shared" ref="C162:C190" si="16">IF(E162="","",LEFT(E162,2))</f>
        <v/>
      </c>
      <c r="D162" s="21" t="str">
        <f t="shared" ref="D162:D190" si="17">B162&amp;C162</f>
        <v/>
      </c>
      <c r="E162" s="21" t="str">
        <f>'FORM. DE INSPEÇÃO'!L169</f>
        <v/>
      </c>
      <c r="F162" s="21" t="str">
        <f>'FORM. DE INSPEÇÃO'!M169</f>
        <v/>
      </c>
      <c r="G162" s="22" t="str">
        <f>IF(F162="","",'FORM. DE INSPEÇÃO'!G169&amp;"-"&amp;'FORM. DE INSPEÇÃO'!E169)</f>
        <v/>
      </c>
      <c r="H162" s="149" t="str">
        <f>IF(B162="","",'FORM. DE INSPEÇÃO'!R169)</f>
        <v/>
      </c>
      <c r="I162" s="149" t="str">
        <f>IF(B162="","",'FORM. DE INSPEÇÃO'!A169)</f>
        <v/>
      </c>
      <c r="J162" s="149" t="str">
        <f>IF(B162="","",'FORM. DE INSPEÇÃO'!J169:K169)</f>
        <v/>
      </c>
      <c r="K162" s="149" t="str">
        <f>IF(B162="","",'FORM. DE INSPEÇÃO'!N169)</f>
        <v/>
      </c>
      <c r="L162" s="149" t="str">
        <f>IF(B162="","",'FORM. DE INSPEÇÃO'!P169)</f>
        <v/>
      </c>
      <c r="M162" s="150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15"/>
        <v/>
      </c>
      <c r="C163" s="21" t="str">
        <f t="shared" si="16"/>
        <v/>
      </c>
      <c r="D163" s="21" t="str">
        <f t="shared" si="17"/>
        <v/>
      </c>
      <c r="E163" s="21" t="str">
        <f>'FORM. DE INSPEÇÃO'!L170</f>
        <v/>
      </c>
      <c r="F163" s="21" t="str">
        <f>'FORM. DE INSPEÇÃO'!M170</f>
        <v/>
      </c>
      <c r="G163" s="22" t="str">
        <f>IF(F163="","",'FORM. DE INSPEÇÃO'!G170&amp;"-"&amp;'FORM. DE INSPEÇÃO'!E170)</f>
        <v/>
      </c>
      <c r="H163" s="149" t="str">
        <f>IF(B163="","",'FORM. DE INSPEÇÃO'!R170)</f>
        <v/>
      </c>
      <c r="I163" s="149" t="str">
        <f>IF(B163="","",'FORM. DE INSPEÇÃO'!A170)</f>
        <v/>
      </c>
      <c r="J163" s="149" t="str">
        <f>IF(B163="","",'FORM. DE INSPEÇÃO'!J170:K170)</f>
        <v/>
      </c>
      <c r="K163" s="149" t="str">
        <f>IF(B163="","",'FORM. DE INSPEÇÃO'!N170)</f>
        <v/>
      </c>
      <c r="L163" s="149" t="str">
        <f>IF(B163="","",'FORM. DE INSPEÇÃO'!P170)</f>
        <v/>
      </c>
      <c r="M163" s="150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15"/>
        <v/>
      </c>
      <c r="C164" s="21" t="str">
        <f t="shared" si="16"/>
        <v/>
      </c>
      <c r="D164" s="21" t="str">
        <f t="shared" si="17"/>
        <v/>
      </c>
      <c r="E164" s="21" t="str">
        <f>'FORM. DE INSPEÇÃO'!L171</f>
        <v/>
      </c>
      <c r="F164" s="21" t="str">
        <f>'FORM. DE INSPEÇÃO'!M171</f>
        <v/>
      </c>
      <c r="G164" s="22" t="str">
        <f>IF(F164="","",'FORM. DE INSPEÇÃO'!G171&amp;"-"&amp;'FORM. DE INSPEÇÃO'!E171)</f>
        <v/>
      </c>
      <c r="H164" s="149" t="str">
        <f>IF(B164="","",'FORM. DE INSPEÇÃO'!R171)</f>
        <v/>
      </c>
      <c r="I164" s="149" t="str">
        <f>IF(B164="","",'FORM. DE INSPEÇÃO'!A171)</f>
        <v/>
      </c>
      <c r="J164" s="149" t="str">
        <f>IF(B164="","",'FORM. DE INSPEÇÃO'!J171:K171)</f>
        <v/>
      </c>
      <c r="K164" s="149" t="str">
        <f>IF(B164="","",'FORM. DE INSPEÇÃO'!N171)</f>
        <v/>
      </c>
      <c r="L164" s="149" t="str">
        <f>IF(B164="","",'FORM. DE INSPEÇÃO'!P171)</f>
        <v/>
      </c>
      <c r="M164" s="150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15"/>
        <v/>
      </c>
      <c r="C165" s="21" t="str">
        <f t="shared" si="16"/>
        <v/>
      </c>
      <c r="D165" s="21" t="str">
        <f t="shared" si="17"/>
        <v/>
      </c>
      <c r="E165" s="21" t="str">
        <f>'FORM. DE INSPEÇÃO'!L172</f>
        <v/>
      </c>
      <c r="F165" s="21" t="str">
        <f>'FORM. DE INSPEÇÃO'!M172</f>
        <v/>
      </c>
      <c r="G165" s="22" t="str">
        <f>IF(F165="","",'FORM. DE INSPEÇÃO'!G172&amp;"-"&amp;'FORM. DE INSPEÇÃO'!E172)</f>
        <v/>
      </c>
      <c r="H165" s="149" t="str">
        <f>IF(B165="","",'FORM. DE INSPEÇÃO'!R172)</f>
        <v/>
      </c>
      <c r="I165" s="149" t="str">
        <f>IF(B165="","",'FORM. DE INSPEÇÃO'!A172)</f>
        <v/>
      </c>
      <c r="J165" s="149" t="str">
        <f>IF(B165="","",'FORM. DE INSPEÇÃO'!J172:K172)</f>
        <v/>
      </c>
      <c r="K165" s="149" t="str">
        <f>IF(B165="","",'FORM. DE INSPEÇÃO'!N172)</f>
        <v/>
      </c>
      <c r="L165" s="149" t="str">
        <f>IF(B165="","",'FORM. DE INSPEÇÃO'!P172)</f>
        <v/>
      </c>
      <c r="M165" s="150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15"/>
        <v/>
      </c>
      <c r="C166" s="21" t="str">
        <f t="shared" si="16"/>
        <v/>
      </c>
      <c r="D166" s="21" t="str">
        <f t="shared" si="17"/>
        <v/>
      </c>
      <c r="E166" s="21" t="str">
        <f>'FORM. DE INSPEÇÃO'!L173</f>
        <v/>
      </c>
      <c r="F166" s="21" t="str">
        <f>'FORM. DE INSPEÇÃO'!M173</f>
        <v/>
      </c>
      <c r="G166" s="22" t="str">
        <f>IF(F166="","",'FORM. DE INSPEÇÃO'!G173&amp;"-"&amp;'FORM. DE INSPEÇÃO'!E173)</f>
        <v/>
      </c>
      <c r="H166" s="149" t="str">
        <f>IF(B166="","",'FORM. DE INSPEÇÃO'!R173)</f>
        <v/>
      </c>
      <c r="I166" s="149" t="str">
        <f>IF(B166="","",'FORM. DE INSPEÇÃO'!A173)</f>
        <v/>
      </c>
      <c r="J166" s="149" t="str">
        <f>IF(B166="","",'FORM. DE INSPEÇÃO'!J173:K173)</f>
        <v/>
      </c>
      <c r="K166" s="149" t="str">
        <f>IF(B166="","",'FORM. DE INSPEÇÃO'!N173)</f>
        <v/>
      </c>
      <c r="L166" s="149" t="str">
        <f>IF(B166="","",'FORM. DE INSPEÇÃO'!P173)</f>
        <v/>
      </c>
      <c r="M166" s="150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15"/>
        <v/>
      </c>
      <c r="C167" s="21" t="str">
        <f t="shared" si="16"/>
        <v/>
      </c>
      <c r="D167" s="21" t="str">
        <f t="shared" si="17"/>
        <v/>
      </c>
      <c r="E167" s="21" t="str">
        <f>'FORM. DE INSPEÇÃO'!L174</f>
        <v/>
      </c>
      <c r="F167" s="21" t="str">
        <f>'FORM. DE INSPEÇÃO'!M174</f>
        <v/>
      </c>
      <c r="G167" s="22" t="str">
        <f>IF(F167="","",'FORM. DE INSPEÇÃO'!G174&amp;"-"&amp;'FORM. DE INSPEÇÃO'!E174)</f>
        <v/>
      </c>
      <c r="H167" s="149" t="str">
        <f>IF(B167="","",'FORM. DE INSPEÇÃO'!R174)</f>
        <v/>
      </c>
      <c r="I167" s="149" t="str">
        <f>IF(B167="","",'FORM. DE INSPEÇÃO'!A174)</f>
        <v/>
      </c>
      <c r="J167" s="149" t="str">
        <f>IF(B167="","",'FORM. DE INSPEÇÃO'!J174:K174)</f>
        <v/>
      </c>
      <c r="K167" s="149" t="str">
        <f>IF(B167="","",'FORM. DE INSPEÇÃO'!N174)</f>
        <v/>
      </c>
      <c r="L167" s="149" t="str">
        <f>IF(B167="","",'FORM. DE INSPEÇÃO'!P174)</f>
        <v/>
      </c>
      <c r="M167" s="150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15"/>
        <v/>
      </c>
      <c r="C168" s="21" t="str">
        <f t="shared" si="16"/>
        <v/>
      </c>
      <c r="D168" s="21" t="str">
        <f t="shared" si="17"/>
        <v/>
      </c>
      <c r="E168" s="21" t="str">
        <f>'FORM. DE INSPEÇÃO'!L175</f>
        <v/>
      </c>
      <c r="F168" s="21" t="str">
        <f>'FORM. DE INSPEÇÃO'!M175</f>
        <v/>
      </c>
      <c r="G168" s="22" t="str">
        <f>IF(F168="","",'FORM. DE INSPEÇÃO'!G175&amp;"-"&amp;'FORM. DE INSPEÇÃO'!E175)</f>
        <v/>
      </c>
      <c r="H168" s="149" t="str">
        <f>IF(B168="","",'FORM. DE INSPEÇÃO'!R175)</f>
        <v/>
      </c>
      <c r="I168" s="149" t="str">
        <f>IF(B168="","",'FORM. DE INSPEÇÃO'!A175)</f>
        <v/>
      </c>
      <c r="J168" s="149" t="str">
        <f>IF(B168="","",'FORM. DE INSPEÇÃO'!J175:K175)</f>
        <v/>
      </c>
      <c r="K168" s="149" t="str">
        <f>IF(B168="","",'FORM. DE INSPEÇÃO'!N175)</f>
        <v/>
      </c>
      <c r="L168" s="149" t="str">
        <f>IF(B168="","",'FORM. DE INSPEÇÃO'!P175)</f>
        <v/>
      </c>
      <c r="M168" s="150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15"/>
        <v/>
      </c>
      <c r="C169" s="21" t="str">
        <f t="shared" si="16"/>
        <v/>
      </c>
      <c r="D169" s="21" t="str">
        <f t="shared" si="17"/>
        <v/>
      </c>
      <c r="E169" s="21" t="str">
        <f>'FORM. DE INSPEÇÃO'!L176</f>
        <v/>
      </c>
      <c r="F169" s="21" t="str">
        <f>'FORM. DE INSPEÇÃO'!M176</f>
        <v/>
      </c>
      <c r="G169" s="22" t="str">
        <f>IF(F169="","",'FORM. DE INSPEÇÃO'!G176&amp;"-"&amp;'FORM. DE INSPEÇÃO'!E176)</f>
        <v/>
      </c>
      <c r="H169" s="149" t="str">
        <f>IF(B169="","",'FORM. DE INSPEÇÃO'!R176)</f>
        <v/>
      </c>
      <c r="I169" s="149" t="str">
        <f>IF(B169="","",'FORM. DE INSPEÇÃO'!A176)</f>
        <v/>
      </c>
      <c r="J169" s="149" t="str">
        <f>IF(B169="","",'FORM. DE INSPEÇÃO'!J176:K176)</f>
        <v/>
      </c>
      <c r="K169" s="149" t="str">
        <f>IF(B169="","",'FORM. DE INSPEÇÃO'!N176)</f>
        <v/>
      </c>
      <c r="L169" s="149" t="str">
        <f>IF(B169="","",'FORM. DE INSPEÇÃO'!P176)</f>
        <v/>
      </c>
      <c r="M169" s="150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15"/>
        <v/>
      </c>
      <c r="C170" s="21" t="str">
        <f t="shared" si="16"/>
        <v/>
      </c>
      <c r="D170" s="21" t="str">
        <f t="shared" si="17"/>
        <v/>
      </c>
      <c r="E170" s="21" t="str">
        <f>'FORM. DE INSPEÇÃO'!L177</f>
        <v/>
      </c>
      <c r="F170" s="21" t="str">
        <f>'FORM. DE INSPEÇÃO'!M177</f>
        <v/>
      </c>
      <c r="G170" s="22" t="str">
        <f>IF(F170="","",'FORM. DE INSPEÇÃO'!G177&amp;"-"&amp;'FORM. DE INSPEÇÃO'!E177)</f>
        <v/>
      </c>
      <c r="H170" s="149" t="str">
        <f>IF(B170="","",'FORM. DE INSPEÇÃO'!R177)</f>
        <v/>
      </c>
      <c r="I170" s="149" t="str">
        <f>IF(B170="","",'FORM. DE INSPEÇÃO'!A177)</f>
        <v/>
      </c>
      <c r="J170" s="149" t="str">
        <f>IF(B170="","",'FORM. DE INSPEÇÃO'!J177:K177)</f>
        <v/>
      </c>
      <c r="K170" s="149" t="str">
        <f>IF(B170="","",'FORM. DE INSPEÇÃO'!N177)</f>
        <v/>
      </c>
      <c r="L170" s="149" t="str">
        <f>IF(B170="","",'FORM. DE INSPEÇÃO'!P177)</f>
        <v/>
      </c>
      <c r="M170" s="150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15"/>
        <v/>
      </c>
      <c r="C171" s="21" t="str">
        <f t="shared" si="16"/>
        <v/>
      </c>
      <c r="D171" s="21" t="str">
        <f t="shared" si="17"/>
        <v/>
      </c>
      <c r="E171" s="21" t="str">
        <f>'FORM. DE INSPEÇÃO'!L178</f>
        <v/>
      </c>
      <c r="F171" s="21" t="str">
        <f>'FORM. DE INSPEÇÃO'!M178</f>
        <v/>
      </c>
      <c r="G171" s="22" t="str">
        <f>IF(F171="","",'FORM. DE INSPEÇÃO'!G178&amp;"-"&amp;'FORM. DE INSPEÇÃO'!E178)</f>
        <v/>
      </c>
      <c r="H171" s="149" t="str">
        <f>IF(B171="","",'FORM. DE INSPEÇÃO'!R178)</f>
        <v/>
      </c>
      <c r="I171" s="149" t="str">
        <f>IF(B171="","",'FORM. DE INSPEÇÃO'!A178)</f>
        <v/>
      </c>
      <c r="J171" s="149" t="str">
        <f>IF(B171="","",'FORM. DE INSPEÇÃO'!J178:K178)</f>
        <v/>
      </c>
      <c r="K171" s="149" t="str">
        <f>IF(B171="","",'FORM. DE INSPEÇÃO'!N178)</f>
        <v/>
      </c>
      <c r="L171" s="149" t="str">
        <f>IF(B171="","",'FORM. DE INSPEÇÃO'!P178)</f>
        <v/>
      </c>
      <c r="M171" s="150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15"/>
        <v/>
      </c>
      <c r="C172" s="21" t="str">
        <f t="shared" si="16"/>
        <v/>
      </c>
      <c r="D172" s="21" t="str">
        <f t="shared" si="17"/>
        <v/>
      </c>
      <c r="E172" s="21" t="str">
        <f>'FORM. DE INSPEÇÃO'!L179</f>
        <v/>
      </c>
      <c r="F172" s="21" t="str">
        <f>'FORM. DE INSPEÇÃO'!M179</f>
        <v/>
      </c>
      <c r="G172" s="22" t="str">
        <f>IF(F172="","",'FORM. DE INSPEÇÃO'!G179&amp;"-"&amp;'FORM. DE INSPEÇÃO'!E179)</f>
        <v/>
      </c>
      <c r="H172" s="149" t="str">
        <f>IF(B172="","",'FORM. DE INSPEÇÃO'!R179)</f>
        <v/>
      </c>
      <c r="I172" s="149" t="str">
        <f>IF(B172="","",'FORM. DE INSPEÇÃO'!A179)</f>
        <v/>
      </c>
      <c r="J172" s="149" t="str">
        <f>IF(B172="","",'FORM. DE INSPEÇÃO'!J179:K179)</f>
        <v/>
      </c>
      <c r="K172" s="149" t="str">
        <f>IF(B172="","",'FORM. DE INSPEÇÃO'!N179)</f>
        <v/>
      </c>
      <c r="L172" s="149" t="str">
        <f>IF(B172="","",'FORM. DE INSPEÇÃO'!P179)</f>
        <v/>
      </c>
      <c r="M172" s="150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15"/>
        <v/>
      </c>
      <c r="C173" s="21" t="str">
        <f t="shared" si="16"/>
        <v/>
      </c>
      <c r="D173" s="21" t="str">
        <f t="shared" si="17"/>
        <v/>
      </c>
      <c r="E173" s="21" t="str">
        <f>'FORM. DE INSPEÇÃO'!L180</f>
        <v/>
      </c>
      <c r="F173" s="21" t="str">
        <f>'FORM. DE INSPEÇÃO'!M180</f>
        <v/>
      </c>
      <c r="G173" s="22" t="str">
        <f>IF(F173="","",'FORM. DE INSPEÇÃO'!G180&amp;"-"&amp;'FORM. DE INSPEÇÃO'!E180)</f>
        <v/>
      </c>
      <c r="H173" s="149" t="str">
        <f>IF(B173="","",'FORM. DE INSPEÇÃO'!R180)</f>
        <v/>
      </c>
      <c r="I173" s="149" t="str">
        <f>IF(B173="","",'FORM. DE INSPEÇÃO'!A180)</f>
        <v/>
      </c>
      <c r="J173" s="149" t="str">
        <f>IF(B173="","",'FORM. DE INSPEÇÃO'!J180:K180)</f>
        <v/>
      </c>
      <c r="K173" s="149" t="str">
        <f>IF(B173="","",'FORM. DE INSPEÇÃO'!N180)</f>
        <v/>
      </c>
      <c r="L173" s="149" t="str">
        <f>IF(B173="","",'FORM. DE INSPEÇÃO'!P180)</f>
        <v/>
      </c>
      <c r="M173" s="150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15"/>
        <v/>
      </c>
      <c r="C174" s="21" t="str">
        <f t="shared" si="16"/>
        <v/>
      </c>
      <c r="D174" s="21" t="str">
        <f t="shared" si="17"/>
        <v/>
      </c>
      <c r="E174" s="21" t="str">
        <f>'FORM. DE INSPEÇÃO'!L181</f>
        <v/>
      </c>
      <c r="F174" s="21" t="str">
        <f>'FORM. DE INSPEÇÃO'!M181</f>
        <v/>
      </c>
      <c r="G174" s="22" t="str">
        <f>IF(F174="","",'FORM. DE INSPEÇÃO'!G181&amp;"-"&amp;'FORM. DE INSPEÇÃO'!E181)</f>
        <v/>
      </c>
      <c r="H174" s="149" t="str">
        <f>IF(B174="","",'FORM. DE INSPEÇÃO'!R181)</f>
        <v/>
      </c>
      <c r="I174" s="149" t="str">
        <f>IF(B174="","",'FORM. DE INSPEÇÃO'!A181)</f>
        <v/>
      </c>
      <c r="J174" s="149" t="str">
        <f>IF(B174="","",'FORM. DE INSPEÇÃO'!J181:K181)</f>
        <v/>
      </c>
      <c r="K174" s="149" t="str">
        <f>IF(B174="","",'FORM. DE INSPEÇÃO'!N181)</f>
        <v/>
      </c>
      <c r="L174" s="149" t="str">
        <f>IF(B174="","",'FORM. DE INSPEÇÃO'!P181)</f>
        <v/>
      </c>
      <c r="M174" s="150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15"/>
        <v/>
      </c>
      <c r="C175" s="21" t="str">
        <f t="shared" si="16"/>
        <v/>
      </c>
      <c r="D175" s="21" t="str">
        <f t="shared" si="17"/>
        <v/>
      </c>
      <c r="E175" s="21" t="str">
        <f>'FORM. DE INSPEÇÃO'!L182</f>
        <v/>
      </c>
      <c r="F175" s="21" t="str">
        <f>'FORM. DE INSPEÇÃO'!M182</f>
        <v/>
      </c>
      <c r="G175" s="22" t="str">
        <f>IF(F175="","",'FORM. DE INSPEÇÃO'!G182&amp;"-"&amp;'FORM. DE INSPEÇÃO'!E182)</f>
        <v/>
      </c>
      <c r="H175" s="149" t="str">
        <f>IF(B175="","",'FORM. DE INSPEÇÃO'!R182)</f>
        <v/>
      </c>
      <c r="I175" s="149" t="str">
        <f>IF(B175="","",'FORM. DE INSPEÇÃO'!A182)</f>
        <v/>
      </c>
      <c r="J175" s="149" t="str">
        <f>IF(B175="","",'FORM. DE INSPEÇÃO'!J182:K182)</f>
        <v/>
      </c>
      <c r="K175" s="149" t="str">
        <f>IF(B175="","",'FORM. DE INSPEÇÃO'!N182)</f>
        <v/>
      </c>
      <c r="L175" s="149" t="str">
        <f>IF(B175="","",'FORM. DE INSPEÇÃO'!P182)</f>
        <v/>
      </c>
      <c r="M175" s="150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15"/>
        <v/>
      </c>
      <c r="C176" s="21" t="str">
        <f t="shared" si="16"/>
        <v/>
      </c>
      <c r="D176" s="21" t="str">
        <f t="shared" si="17"/>
        <v/>
      </c>
      <c r="E176" s="21" t="str">
        <f>'FORM. DE INSPEÇÃO'!L183</f>
        <v/>
      </c>
      <c r="F176" s="21" t="str">
        <f>'FORM. DE INSPEÇÃO'!M183</f>
        <v/>
      </c>
      <c r="G176" s="22" t="str">
        <f>IF(F176="","",'FORM. DE INSPEÇÃO'!G183&amp;"-"&amp;'FORM. DE INSPEÇÃO'!E183)</f>
        <v/>
      </c>
      <c r="H176" s="149" t="str">
        <f>IF(B176="","",'FORM. DE INSPEÇÃO'!R183)</f>
        <v/>
      </c>
      <c r="I176" s="149" t="str">
        <f>IF(B176="","",'FORM. DE INSPEÇÃO'!A183)</f>
        <v/>
      </c>
      <c r="J176" s="149" t="str">
        <f>IF(B176="","",'FORM. DE INSPEÇÃO'!J183:K183)</f>
        <v/>
      </c>
      <c r="K176" s="149" t="str">
        <f>IF(B176="","",'FORM. DE INSPEÇÃO'!N183)</f>
        <v/>
      </c>
      <c r="L176" s="149" t="str">
        <f>IF(B176="","",'FORM. DE INSPEÇÃO'!P183)</f>
        <v/>
      </c>
      <c r="M176" s="150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15"/>
        <v/>
      </c>
      <c r="C177" s="21" t="str">
        <f t="shared" si="16"/>
        <v/>
      </c>
      <c r="D177" s="21" t="str">
        <f t="shared" si="17"/>
        <v/>
      </c>
      <c r="E177" s="21" t="str">
        <f>'FORM. DE INSPEÇÃO'!L184</f>
        <v/>
      </c>
      <c r="F177" s="21" t="str">
        <f>'FORM. DE INSPEÇÃO'!M184</f>
        <v/>
      </c>
      <c r="G177" s="22" t="str">
        <f>IF(F177="","",'FORM. DE INSPEÇÃO'!G184&amp;"-"&amp;'FORM. DE INSPEÇÃO'!E184)</f>
        <v/>
      </c>
      <c r="H177" s="149" t="str">
        <f>IF(B177="","",'FORM. DE INSPEÇÃO'!R184)</f>
        <v/>
      </c>
      <c r="I177" s="149" t="str">
        <f>IF(B177="","",'FORM. DE INSPEÇÃO'!A184)</f>
        <v/>
      </c>
      <c r="J177" s="149" t="str">
        <f>IF(B177="","",'FORM. DE INSPEÇÃO'!J184:K184)</f>
        <v/>
      </c>
      <c r="K177" s="149" t="str">
        <f>IF(B177="","",'FORM. DE INSPEÇÃO'!N184)</f>
        <v/>
      </c>
      <c r="L177" s="149" t="str">
        <f>IF(B177="","",'FORM. DE INSPEÇÃO'!P184)</f>
        <v/>
      </c>
      <c r="M177" s="150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15"/>
        <v/>
      </c>
      <c r="C178" s="21" t="str">
        <f t="shared" si="16"/>
        <v/>
      </c>
      <c r="D178" s="21" t="str">
        <f t="shared" si="17"/>
        <v/>
      </c>
      <c r="E178" s="21" t="str">
        <f>'FORM. DE INSPEÇÃO'!L185</f>
        <v/>
      </c>
      <c r="F178" s="21" t="str">
        <f>'FORM. DE INSPEÇÃO'!M185</f>
        <v/>
      </c>
      <c r="G178" s="22" t="str">
        <f>IF(F178="","",'FORM. DE INSPEÇÃO'!G185&amp;"-"&amp;'FORM. DE INSPEÇÃO'!E185)</f>
        <v/>
      </c>
      <c r="H178" s="149" t="str">
        <f>IF(B178="","",'FORM. DE INSPEÇÃO'!R185)</f>
        <v/>
      </c>
      <c r="I178" s="149" t="str">
        <f>IF(B178="","",'FORM. DE INSPEÇÃO'!A185)</f>
        <v/>
      </c>
      <c r="J178" s="149" t="str">
        <f>IF(B178="","",'FORM. DE INSPEÇÃO'!J185:K185)</f>
        <v/>
      </c>
      <c r="K178" s="149" t="str">
        <f>IF(B178="","",'FORM. DE INSPEÇÃO'!N185)</f>
        <v/>
      </c>
      <c r="L178" s="149" t="str">
        <f>IF(B178="","",'FORM. DE INSPEÇÃO'!P185)</f>
        <v/>
      </c>
      <c r="M178" s="150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15"/>
        <v/>
      </c>
      <c r="C179" s="21" t="str">
        <f t="shared" si="16"/>
        <v/>
      </c>
      <c r="D179" s="21" t="str">
        <f t="shared" si="17"/>
        <v/>
      </c>
      <c r="E179" s="21" t="str">
        <f>'FORM. DE INSPEÇÃO'!L186</f>
        <v/>
      </c>
      <c r="F179" s="21" t="str">
        <f>'FORM. DE INSPEÇÃO'!M186</f>
        <v/>
      </c>
      <c r="G179" s="22" t="str">
        <f>IF(F179="","",'FORM. DE INSPEÇÃO'!G186&amp;"-"&amp;'FORM. DE INSPEÇÃO'!E186)</f>
        <v/>
      </c>
      <c r="H179" s="149" t="str">
        <f>IF(B179="","",'FORM. DE INSPEÇÃO'!R186)</f>
        <v/>
      </c>
      <c r="I179" s="149" t="str">
        <f>IF(B179="","",'FORM. DE INSPEÇÃO'!A186)</f>
        <v/>
      </c>
      <c r="J179" s="149" t="str">
        <f>IF(B179="","",'FORM. DE INSPEÇÃO'!J186:K186)</f>
        <v/>
      </c>
      <c r="K179" s="149" t="str">
        <f>IF(B179="","",'FORM. DE INSPEÇÃO'!N186)</f>
        <v/>
      </c>
      <c r="L179" s="149" t="str">
        <f>IF(B179="","",'FORM. DE INSPEÇÃO'!P186)</f>
        <v/>
      </c>
      <c r="M179" s="150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15"/>
        <v/>
      </c>
      <c r="C180" s="21" t="str">
        <f t="shared" si="16"/>
        <v/>
      </c>
      <c r="D180" s="21" t="str">
        <f t="shared" si="17"/>
        <v/>
      </c>
      <c r="E180" s="21" t="str">
        <f>'FORM. DE INSPEÇÃO'!L187</f>
        <v/>
      </c>
      <c r="F180" s="21" t="str">
        <f>'FORM. DE INSPEÇÃO'!M187</f>
        <v/>
      </c>
      <c r="G180" s="22" t="str">
        <f>IF(F180="","",'FORM. DE INSPEÇÃO'!G187&amp;"-"&amp;'FORM. DE INSPEÇÃO'!E187)</f>
        <v/>
      </c>
      <c r="H180" s="149" t="str">
        <f>IF(B180="","",'FORM. DE INSPEÇÃO'!R187)</f>
        <v/>
      </c>
      <c r="I180" s="149" t="str">
        <f>IF(B180="","",'FORM. DE INSPEÇÃO'!A187)</f>
        <v/>
      </c>
      <c r="J180" s="149" t="str">
        <f>IF(B180="","",'FORM. DE INSPEÇÃO'!J187:K187)</f>
        <v/>
      </c>
      <c r="K180" s="149" t="str">
        <f>IF(B180="","",'FORM. DE INSPEÇÃO'!N187)</f>
        <v/>
      </c>
      <c r="L180" s="149" t="str">
        <f>IF(B180="","",'FORM. DE INSPEÇÃO'!P187)</f>
        <v/>
      </c>
      <c r="M180" s="150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15"/>
        <v/>
      </c>
      <c r="C181" s="21" t="str">
        <f t="shared" si="16"/>
        <v/>
      </c>
      <c r="D181" s="21" t="str">
        <f t="shared" si="17"/>
        <v/>
      </c>
      <c r="E181" s="21" t="str">
        <f>'FORM. DE INSPEÇÃO'!L188</f>
        <v/>
      </c>
      <c r="F181" s="21" t="str">
        <f>'FORM. DE INSPEÇÃO'!M188</f>
        <v/>
      </c>
      <c r="G181" s="22" t="str">
        <f>IF(F181="","",'FORM. DE INSPEÇÃO'!G188&amp;"-"&amp;'FORM. DE INSPEÇÃO'!E188)</f>
        <v/>
      </c>
      <c r="H181" s="149" t="str">
        <f>IF(B181="","",'FORM. DE INSPEÇÃO'!R188)</f>
        <v/>
      </c>
      <c r="I181" s="149" t="str">
        <f>IF(B181="","",'FORM. DE INSPEÇÃO'!A188)</f>
        <v/>
      </c>
      <c r="J181" s="149" t="str">
        <f>IF(B181="","",'FORM. DE INSPEÇÃO'!J188:K188)</f>
        <v/>
      </c>
      <c r="K181" s="149" t="str">
        <f>IF(B181="","",'FORM. DE INSPEÇÃO'!N188)</f>
        <v/>
      </c>
      <c r="L181" s="149" t="str">
        <f>IF(B181="","",'FORM. DE INSPEÇÃO'!P188)</f>
        <v/>
      </c>
      <c r="M181" s="150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15"/>
        <v/>
      </c>
      <c r="C182" s="21" t="str">
        <f t="shared" si="16"/>
        <v/>
      </c>
      <c r="D182" s="21" t="str">
        <f t="shared" si="17"/>
        <v/>
      </c>
      <c r="E182" s="21" t="str">
        <f>'FORM. DE INSPEÇÃO'!L189</f>
        <v/>
      </c>
      <c r="F182" s="21" t="str">
        <f>'FORM. DE INSPEÇÃO'!M189</f>
        <v/>
      </c>
      <c r="G182" s="22" t="str">
        <f>IF(F182="","",'FORM. DE INSPEÇÃO'!G189&amp;"-"&amp;'FORM. DE INSPEÇÃO'!E189)</f>
        <v/>
      </c>
      <c r="H182" s="149" t="str">
        <f>IF(B182="","",'FORM. DE INSPEÇÃO'!R189)</f>
        <v/>
      </c>
      <c r="I182" s="149" t="str">
        <f>IF(B182="","",'FORM. DE INSPEÇÃO'!A189)</f>
        <v/>
      </c>
      <c r="J182" s="149" t="str">
        <f>IF(B182="","",'FORM. DE INSPEÇÃO'!J189:K189)</f>
        <v/>
      </c>
      <c r="K182" s="149" t="str">
        <f>IF(B182="","",'FORM. DE INSPEÇÃO'!N189)</f>
        <v/>
      </c>
      <c r="L182" s="149" t="str">
        <f>IF(B182="","",'FORM. DE INSPEÇÃO'!P189)</f>
        <v/>
      </c>
      <c r="M182" s="150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15"/>
        <v/>
      </c>
      <c r="C183" s="21" t="str">
        <f t="shared" si="16"/>
        <v/>
      </c>
      <c r="D183" s="21" t="str">
        <f t="shared" si="17"/>
        <v/>
      </c>
      <c r="E183" s="21" t="str">
        <f>'FORM. DE INSPEÇÃO'!L190</f>
        <v/>
      </c>
      <c r="F183" s="21" t="str">
        <f>'FORM. DE INSPEÇÃO'!M190</f>
        <v/>
      </c>
      <c r="G183" s="22" t="str">
        <f>IF(F183="","",'FORM. DE INSPEÇÃO'!G190&amp;"-"&amp;'FORM. DE INSPEÇÃO'!E190)</f>
        <v/>
      </c>
      <c r="H183" s="149" t="str">
        <f>IF(B183="","",'FORM. DE INSPEÇÃO'!R190)</f>
        <v/>
      </c>
      <c r="I183" s="149" t="str">
        <f>IF(B183="","",'FORM. DE INSPEÇÃO'!A190)</f>
        <v/>
      </c>
      <c r="J183" s="149" t="str">
        <f>IF(B183="","",'FORM. DE INSPEÇÃO'!J190:K190)</f>
        <v/>
      </c>
      <c r="K183" s="149" t="str">
        <f>IF(B183="","",'FORM. DE INSPEÇÃO'!N190)</f>
        <v/>
      </c>
      <c r="L183" s="149" t="str">
        <f>IF(B183="","",'FORM. DE INSPEÇÃO'!P190)</f>
        <v/>
      </c>
      <c r="M183" s="150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15"/>
        <v/>
      </c>
      <c r="C184" s="21" t="str">
        <f t="shared" si="16"/>
        <v/>
      </c>
      <c r="D184" s="21" t="str">
        <f t="shared" si="17"/>
        <v/>
      </c>
      <c r="E184" s="21" t="str">
        <f>'FORM. DE INSPEÇÃO'!L191</f>
        <v/>
      </c>
      <c r="F184" s="21" t="str">
        <f>'FORM. DE INSPEÇÃO'!M191</f>
        <v/>
      </c>
      <c r="G184" s="22" t="str">
        <f>IF(F184="","",'FORM. DE INSPEÇÃO'!G191&amp;"-"&amp;'FORM. DE INSPEÇÃO'!E191)</f>
        <v/>
      </c>
      <c r="H184" s="149" t="str">
        <f>IF(B184="","",'FORM. DE INSPEÇÃO'!R191)</f>
        <v/>
      </c>
      <c r="I184" s="149" t="str">
        <f>IF(B184="","",'FORM. DE INSPEÇÃO'!A191)</f>
        <v/>
      </c>
      <c r="J184" s="149" t="str">
        <f>IF(B184="","",'FORM. DE INSPEÇÃO'!J191:K191)</f>
        <v/>
      </c>
      <c r="K184" s="149" t="str">
        <f>IF(B184="","",'FORM. DE INSPEÇÃO'!N191)</f>
        <v/>
      </c>
      <c r="L184" s="149" t="str">
        <f>IF(B184="","",'FORM. DE INSPEÇÃO'!P191)</f>
        <v/>
      </c>
      <c r="M184" s="150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15"/>
        <v/>
      </c>
      <c r="C185" s="21" t="str">
        <f t="shared" si="16"/>
        <v/>
      </c>
      <c r="D185" s="21" t="str">
        <f t="shared" si="17"/>
        <v/>
      </c>
      <c r="E185" s="21" t="str">
        <f>'FORM. DE INSPEÇÃO'!L192</f>
        <v/>
      </c>
      <c r="F185" s="21" t="str">
        <f>'FORM. DE INSPEÇÃO'!M192</f>
        <v/>
      </c>
      <c r="G185" s="22" t="str">
        <f>IF(F185="","",'FORM. DE INSPEÇÃO'!G192&amp;"-"&amp;'FORM. DE INSPEÇÃO'!E192)</f>
        <v/>
      </c>
      <c r="H185" s="149" t="str">
        <f>IF(B185="","",'FORM. DE INSPEÇÃO'!R192)</f>
        <v/>
      </c>
      <c r="I185" s="149" t="str">
        <f>IF(B185="","",'FORM. DE INSPEÇÃO'!A192)</f>
        <v/>
      </c>
      <c r="J185" s="149" t="str">
        <f>IF(B185="","",'FORM. DE INSPEÇÃO'!J192:K192)</f>
        <v/>
      </c>
      <c r="K185" s="149" t="str">
        <f>IF(B185="","",'FORM. DE INSPEÇÃO'!N192)</f>
        <v/>
      </c>
      <c r="L185" s="149" t="str">
        <f>IF(B185="","",'FORM. DE INSPEÇÃO'!P192)</f>
        <v/>
      </c>
      <c r="M185" s="150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15"/>
        <v/>
      </c>
      <c r="C186" s="21" t="str">
        <f t="shared" si="16"/>
        <v/>
      </c>
      <c r="D186" s="21" t="str">
        <f t="shared" si="17"/>
        <v/>
      </c>
      <c r="E186" s="21" t="str">
        <f>'FORM. DE INSPEÇÃO'!L193</f>
        <v/>
      </c>
      <c r="F186" s="21" t="str">
        <f>'FORM. DE INSPEÇÃO'!M193</f>
        <v/>
      </c>
      <c r="G186" s="22" t="str">
        <f>IF(F186="","",'FORM. DE INSPEÇÃO'!G193&amp;"-"&amp;'FORM. DE INSPEÇÃO'!E193)</f>
        <v/>
      </c>
      <c r="H186" s="149" t="str">
        <f>IF(B186="","",'FORM. DE INSPEÇÃO'!R193)</f>
        <v/>
      </c>
      <c r="I186" s="149" t="str">
        <f>IF(B186="","",'FORM. DE INSPEÇÃO'!A193)</f>
        <v/>
      </c>
      <c r="J186" s="149" t="str">
        <f>IF(B186="","",'FORM. DE INSPEÇÃO'!J193:K193)</f>
        <v/>
      </c>
      <c r="K186" s="149" t="str">
        <f>IF(B186="","",'FORM. DE INSPEÇÃO'!N193)</f>
        <v/>
      </c>
      <c r="L186" s="149" t="str">
        <f>IF(B186="","",'FORM. DE INSPEÇÃO'!P193)</f>
        <v/>
      </c>
      <c r="M186" s="150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15"/>
        <v/>
      </c>
      <c r="C187" s="21" t="str">
        <f t="shared" si="16"/>
        <v/>
      </c>
      <c r="D187" s="21" t="str">
        <f t="shared" si="17"/>
        <v/>
      </c>
      <c r="E187" s="21" t="str">
        <f>'FORM. DE INSPEÇÃO'!L194</f>
        <v/>
      </c>
      <c r="F187" s="21" t="str">
        <f>'FORM. DE INSPEÇÃO'!M194</f>
        <v/>
      </c>
      <c r="G187" s="22" t="str">
        <f>IF(F187="","",'FORM. DE INSPEÇÃO'!G194&amp;"-"&amp;'FORM. DE INSPEÇÃO'!E194)</f>
        <v/>
      </c>
      <c r="H187" s="149" t="str">
        <f>IF(B187="","",'FORM. DE INSPEÇÃO'!R194)</f>
        <v/>
      </c>
      <c r="I187" s="149" t="str">
        <f>IF(B187="","",'FORM. DE INSPEÇÃO'!A194)</f>
        <v/>
      </c>
      <c r="J187" s="149" t="str">
        <f>IF(B187="","",'FORM. DE INSPEÇÃO'!J194:K194)</f>
        <v/>
      </c>
      <c r="K187" s="149" t="str">
        <f>IF(B187="","",'FORM. DE INSPEÇÃO'!N194)</f>
        <v/>
      </c>
      <c r="L187" s="149" t="str">
        <f>IF(B187="","",'FORM. DE INSPEÇÃO'!P194)</f>
        <v/>
      </c>
      <c r="M187" s="150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15"/>
        <v/>
      </c>
      <c r="C188" s="21" t="str">
        <f t="shared" si="16"/>
        <v/>
      </c>
      <c r="D188" s="21" t="str">
        <f t="shared" si="17"/>
        <v/>
      </c>
      <c r="E188" s="21" t="str">
        <f>'FORM. DE INSPEÇÃO'!L195</f>
        <v/>
      </c>
      <c r="F188" s="21" t="str">
        <f>'FORM. DE INSPEÇÃO'!M195</f>
        <v/>
      </c>
      <c r="G188" s="22" t="str">
        <f>IF(F188="","",'FORM. DE INSPEÇÃO'!G195&amp;"-"&amp;'FORM. DE INSPEÇÃO'!E195)</f>
        <v/>
      </c>
      <c r="H188" s="149" t="str">
        <f>IF(B188="","",'FORM. DE INSPEÇÃO'!R195)</f>
        <v/>
      </c>
      <c r="I188" s="149" t="str">
        <f>IF(B188="","",'FORM. DE INSPEÇÃO'!A195)</f>
        <v/>
      </c>
      <c r="J188" s="149" t="str">
        <f>IF(B188="","",'FORM. DE INSPEÇÃO'!J195:K195)</f>
        <v/>
      </c>
      <c r="K188" s="149" t="str">
        <f>IF(B188="","",'FORM. DE INSPEÇÃO'!N195)</f>
        <v/>
      </c>
      <c r="L188" s="149" t="str">
        <f>IF(B188="","",'FORM. DE INSPEÇÃO'!P195)</f>
        <v/>
      </c>
      <c r="M188" s="150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15"/>
        <v/>
      </c>
      <c r="C189" s="21" t="str">
        <f t="shared" si="16"/>
        <v/>
      </c>
      <c r="D189" s="21" t="str">
        <f t="shared" si="17"/>
        <v/>
      </c>
      <c r="E189" s="21" t="str">
        <f>'FORM. DE INSPEÇÃO'!L196</f>
        <v/>
      </c>
      <c r="F189" s="21" t="str">
        <f>'FORM. DE INSPEÇÃO'!M196</f>
        <v/>
      </c>
      <c r="G189" s="22" t="str">
        <f>IF(F189="","",'FORM. DE INSPEÇÃO'!G196&amp;"-"&amp;'FORM. DE INSPEÇÃO'!E196)</f>
        <v/>
      </c>
      <c r="H189" s="149" t="str">
        <f>IF(B189="","",'FORM. DE INSPEÇÃO'!R196)</f>
        <v/>
      </c>
      <c r="I189" s="149" t="str">
        <f>IF(B189="","",'FORM. DE INSPEÇÃO'!A196)</f>
        <v/>
      </c>
      <c r="J189" s="149" t="str">
        <f>IF(B189="","",'FORM. DE INSPEÇÃO'!J196:K196)</f>
        <v/>
      </c>
      <c r="K189" s="149" t="str">
        <f>IF(B189="","",'FORM. DE INSPEÇÃO'!N196)</f>
        <v/>
      </c>
      <c r="L189" s="149" t="str">
        <f>IF(B189="","",'FORM. DE INSPEÇÃO'!P196)</f>
        <v/>
      </c>
      <c r="M189" s="150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15"/>
        <v/>
      </c>
      <c r="C190" s="21" t="str">
        <f t="shared" si="16"/>
        <v/>
      </c>
      <c r="D190" s="21" t="str">
        <f t="shared" si="17"/>
        <v/>
      </c>
      <c r="E190" s="21" t="str">
        <f>'FORM. DE INSPEÇÃO'!L197</f>
        <v/>
      </c>
      <c r="F190" s="21" t="str">
        <f>'FORM. DE INSPEÇÃO'!M197</f>
        <v/>
      </c>
      <c r="G190" s="22" t="str">
        <f>IF(F190="","",'FORM. DE INSPEÇÃO'!G197&amp;"-"&amp;'FORM. DE INSPEÇÃO'!E197)</f>
        <v/>
      </c>
      <c r="H190" s="149" t="str">
        <f>IF(B190="","",'FORM. DE INSPEÇÃO'!R197)</f>
        <v/>
      </c>
      <c r="I190" s="149" t="str">
        <f>IF(B190="","",'FORM. DE INSPEÇÃO'!A197)</f>
        <v/>
      </c>
      <c r="J190" s="149" t="str">
        <f>IF(B190="","",'FORM. DE INSPEÇÃO'!J197:K197)</f>
        <v/>
      </c>
      <c r="K190" s="149" t="str">
        <f>IF(B190="","",'FORM. DE INSPEÇÃO'!N197)</f>
        <v/>
      </c>
      <c r="L190" s="149" t="str">
        <f>IF(B190="","",'FORM. DE INSPEÇÃO'!P197)</f>
        <v/>
      </c>
      <c r="M190" s="150" t="str">
        <f>IFERROR(VLOOKUP(E190,'TABELA DE DEFEITOS'!$B$4:$F$204,5,0),"")</f>
        <v/>
      </c>
    </row>
  </sheetData>
  <sortState ref="A2:L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31"/>
  <sheetViews>
    <sheetView showGridLines="0" tabSelected="1" topLeftCell="A22" zoomScaleNormal="100" workbookViewId="0">
      <selection activeCell="H16" sqref="H16:M16"/>
    </sheetView>
  </sheetViews>
  <sheetFormatPr defaultColWidth="12" defaultRowHeight="10.5"/>
  <cols>
    <col min="1" max="1" width="12" style="135"/>
    <col min="2" max="6" width="12.6640625" style="135" customWidth="1"/>
    <col min="7" max="7" width="17.33203125" style="135" bestFit="1" customWidth="1"/>
    <col min="8" max="8" width="12.6640625" style="135" customWidth="1"/>
    <col min="9" max="9" width="7.83203125" style="135" customWidth="1"/>
    <col min="10" max="10" width="11.1640625" style="135" customWidth="1"/>
    <col min="11" max="11" width="11.6640625" style="144" customWidth="1"/>
    <col min="12" max="12" width="20.33203125" style="145" customWidth="1"/>
    <col min="13" max="13" width="17.5" style="135" customWidth="1"/>
    <col min="14" max="16384" width="12" style="135"/>
  </cols>
  <sheetData>
    <row r="1" spans="1:14" s="96" customFormat="1" ht="13.5" customHeight="1" thickBot="1">
      <c r="A1" s="92"/>
      <c r="B1" s="93"/>
      <c r="C1" s="94"/>
      <c r="D1" s="93"/>
      <c r="E1" s="93"/>
      <c r="F1" s="93"/>
      <c r="G1" s="93"/>
      <c r="H1" s="93"/>
      <c r="I1" s="93"/>
      <c r="J1" s="93"/>
      <c r="K1" s="140"/>
      <c r="L1" s="146"/>
      <c r="M1" s="95"/>
      <c r="N1" s="93"/>
    </row>
    <row r="2" spans="1:14" s="92" customFormat="1" ht="23.1" customHeight="1">
      <c r="B2" s="220"/>
      <c r="C2" s="221"/>
      <c r="D2" s="221"/>
      <c r="E2" s="221"/>
      <c r="F2" s="226" t="s">
        <v>1426</v>
      </c>
      <c r="G2" s="226"/>
      <c r="H2" s="226"/>
      <c r="I2" s="226"/>
      <c r="J2" s="226"/>
      <c r="K2" s="226"/>
      <c r="L2" s="226"/>
      <c r="M2" s="227"/>
    </row>
    <row r="3" spans="1:14" s="92" customFormat="1" ht="23.1" customHeight="1">
      <c r="B3" s="222"/>
      <c r="C3" s="223"/>
      <c r="D3" s="223"/>
      <c r="E3" s="223"/>
      <c r="F3" s="228"/>
      <c r="G3" s="228"/>
      <c r="H3" s="228"/>
      <c r="I3" s="228"/>
      <c r="J3" s="228"/>
      <c r="K3" s="228"/>
      <c r="L3" s="228"/>
      <c r="M3" s="229"/>
    </row>
    <row r="4" spans="1:14" s="92" customFormat="1" ht="23.1" customHeight="1" thickBot="1">
      <c r="B4" s="224"/>
      <c r="C4" s="225"/>
      <c r="D4" s="225"/>
      <c r="E4" s="225"/>
      <c r="F4" s="230"/>
      <c r="G4" s="230"/>
      <c r="H4" s="230"/>
      <c r="I4" s="230"/>
      <c r="J4" s="230"/>
      <c r="K4" s="230"/>
      <c r="L4" s="230"/>
      <c r="M4" s="231"/>
    </row>
    <row r="5" spans="1:14" s="98" customFormat="1" ht="15" customHeight="1">
      <c r="A5" s="92"/>
      <c r="B5" s="232" t="s">
        <v>1427</v>
      </c>
      <c r="C5" s="233"/>
      <c r="D5" s="234" t="s">
        <v>11</v>
      </c>
      <c r="E5" s="234"/>
      <c r="F5" s="234"/>
      <c r="G5" s="127" t="s">
        <v>1436</v>
      </c>
      <c r="H5" s="234" t="s">
        <v>1444</v>
      </c>
      <c r="I5" s="234"/>
      <c r="J5" s="122"/>
      <c r="K5" s="235"/>
      <c r="L5" s="235"/>
      <c r="M5" s="124"/>
      <c r="N5" s="97"/>
    </row>
    <row r="6" spans="1:14" s="98" customFormat="1" ht="15" customHeight="1">
      <c r="A6" s="92"/>
      <c r="B6" s="242" t="s">
        <v>1428</v>
      </c>
      <c r="C6" s="243"/>
      <c r="D6" s="244" t="s">
        <v>362</v>
      </c>
      <c r="E6" s="244"/>
      <c r="F6" s="245"/>
      <c r="G6" s="128"/>
      <c r="H6" s="246"/>
      <c r="I6" s="247"/>
      <c r="J6" s="122"/>
      <c r="K6" s="235"/>
      <c r="L6" s="235"/>
      <c r="M6" s="124"/>
      <c r="N6" s="97"/>
    </row>
    <row r="7" spans="1:14" s="98" customFormat="1" ht="15" customHeight="1">
      <c r="A7" s="92"/>
      <c r="B7" s="242" t="s">
        <v>1429</v>
      </c>
      <c r="C7" s="243"/>
      <c r="D7" s="245">
        <v>6000245260</v>
      </c>
      <c r="E7" s="245"/>
      <c r="F7" s="245"/>
      <c r="G7" s="129"/>
      <c r="H7" s="248"/>
      <c r="I7" s="249"/>
      <c r="J7" s="122"/>
      <c r="K7" s="235"/>
      <c r="L7" s="235"/>
      <c r="M7" s="124"/>
      <c r="N7" s="97"/>
    </row>
    <row r="8" spans="1:14" s="98" customFormat="1" ht="15" customHeight="1" thickBot="1">
      <c r="A8" s="92"/>
      <c r="B8" s="236" t="s">
        <v>1430</v>
      </c>
      <c r="C8" s="237"/>
      <c r="D8" s="238" t="s">
        <v>333</v>
      </c>
      <c r="E8" s="238"/>
      <c r="F8" s="238"/>
      <c r="G8" s="123" t="s">
        <v>1431</v>
      </c>
      <c r="H8" s="238" t="s">
        <v>1151</v>
      </c>
      <c r="I8" s="238"/>
      <c r="J8" s="125"/>
      <c r="K8" s="141"/>
      <c r="L8" s="147"/>
      <c r="M8" s="126"/>
      <c r="N8" s="97"/>
    </row>
    <row r="9" spans="1:14" s="101" customFormat="1" ht="14.1" customHeight="1" thickBot="1">
      <c r="A9" s="92"/>
      <c r="B9" s="99"/>
      <c r="C9" s="100"/>
      <c r="D9" s="100"/>
      <c r="E9" s="100"/>
      <c r="F9" s="99"/>
      <c r="G9" s="100"/>
      <c r="H9" s="100"/>
      <c r="I9" s="100"/>
      <c r="J9" s="100"/>
      <c r="K9" s="142"/>
      <c r="L9" s="148"/>
      <c r="M9" s="100"/>
    </row>
    <row r="10" spans="1:14" s="102" customFormat="1" ht="39.950000000000003" customHeight="1" thickBot="1">
      <c r="A10" s="92"/>
      <c r="B10" s="239" t="s">
        <v>1412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1"/>
    </row>
    <row r="11" spans="1:14" s="102" customFormat="1" ht="2.4500000000000002" customHeight="1">
      <c r="K11" s="143"/>
    </row>
    <row r="12" spans="1:14">
      <c r="B12" s="252" t="s">
        <v>1446</v>
      </c>
      <c r="C12" s="252" t="s">
        <v>1447</v>
      </c>
      <c r="D12" s="250"/>
      <c r="E12" s="250"/>
      <c r="F12" s="252" t="s">
        <v>1448</v>
      </c>
      <c r="G12" s="250"/>
      <c r="H12" s="252" t="s">
        <v>1449</v>
      </c>
      <c r="I12" s="252" t="s">
        <v>1450</v>
      </c>
      <c r="J12" s="252" t="s">
        <v>1451</v>
      </c>
      <c r="K12" s="253" t="s">
        <v>1452</v>
      </c>
      <c r="L12" s="255" t="s">
        <v>1453</v>
      </c>
      <c r="M12" s="252" t="s">
        <v>1454</v>
      </c>
    </row>
    <row r="13" spans="1:14">
      <c r="B13" s="250"/>
      <c r="C13" s="250"/>
      <c r="D13" s="250"/>
      <c r="E13" s="250"/>
      <c r="F13" s="250"/>
      <c r="G13" s="250"/>
      <c r="H13" s="250"/>
      <c r="I13" s="250"/>
      <c r="J13" s="250"/>
      <c r="K13" s="254"/>
      <c r="L13" s="256"/>
      <c r="M13" s="250"/>
    </row>
    <row r="14" spans="1:14" ht="30" customHeight="1">
      <c r="B14" s="135">
        <v>6</v>
      </c>
      <c r="C14" s="256" t="s">
        <v>422</v>
      </c>
      <c r="D14" s="256"/>
      <c r="E14" s="256"/>
      <c r="F14" s="250" t="s">
        <v>766</v>
      </c>
      <c r="G14" s="250"/>
      <c r="H14" s="135" t="s">
        <v>1459</v>
      </c>
      <c r="I14" s="135">
        <v>0</v>
      </c>
      <c r="J14" s="135" t="s">
        <v>6</v>
      </c>
      <c r="K14" s="144" t="s">
        <v>390</v>
      </c>
      <c r="L14" s="145" t="s">
        <v>469</v>
      </c>
      <c r="M14" s="135">
        <v>0</v>
      </c>
    </row>
    <row r="15" spans="1:14">
      <c r="B15" s="151" t="s">
        <v>1455</v>
      </c>
      <c r="C15" s="252" t="s">
        <v>1456</v>
      </c>
      <c r="D15" s="250"/>
      <c r="E15" s="250"/>
      <c r="F15" s="250"/>
      <c r="G15" s="250"/>
      <c r="H15" s="151" t="s">
        <v>1457</v>
      </c>
      <c r="I15" s="252" t="s">
        <v>1458</v>
      </c>
      <c r="J15" s="250"/>
      <c r="K15" s="250"/>
      <c r="L15" s="250"/>
      <c r="M15" s="250"/>
    </row>
    <row r="16" spans="1:14" ht="255" customHeight="1">
      <c r="B16" s="250"/>
      <c r="C16" s="250"/>
      <c r="D16" s="250"/>
      <c r="E16" s="250"/>
      <c r="F16" s="250"/>
      <c r="G16" s="250"/>
      <c r="H16" s="251" t="s">
        <v>1445</v>
      </c>
      <c r="I16" s="250"/>
      <c r="J16" s="250"/>
      <c r="K16" s="250"/>
      <c r="L16" s="250"/>
      <c r="M16" s="250"/>
    </row>
    <row r="17" spans="2:13">
      <c r="B17" s="252" t="s">
        <v>1446</v>
      </c>
      <c r="C17" s="252" t="s">
        <v>1447</v>
      </c>
      <c r="D17" s="250"/>
      <c r="E17" s="250"/>
      <c r="F17" s="252" t="s">
        <v>1448</v>
      </c>
      <c r="G17" s="250"/>
      <c r="H17" s="252" t="s">
        <v>1449</v>
      </c>
      <c r="I17" s="252" t="s">
        <v>1450</v>
      </c>
      <c r="J17" s="252" t="s">
        <v>1451</v>
      </c>
      <c r="K17" s="253" t="s">
        <v>1452</v>
      </c>
      <c r="L17" s="255" t="s">
        <v>1453</v>
      </c>
      <c r="M17" s="252" t="s">
        <v>1454</v>
      </c>
    </row>
    <row r="18" spans="2:13">
      <c r="B18" s="250"/>
      <c r="C18" s="250"/>
      <c r="D18" s="250"/>
      <c r="E18" s="250"/>
      <c r="F18" s="250"/>
      <c r="G18" s="250"/>
      <c r="H18" s="250"/>
      <c r="I18" s="250"/>
      <c r="J18" s="250"/>
      <c r="K18" s="254"/>
      <c r="L18" s="256"/>
      <c r="M18" s="250"/>
    </row>
    <row r="19" spans="2:13" ht="30" customHeight="1">
      <c r="B19" s="135">
        <v>7</v>
      </c>
      <c r="C19" s="256" t="s">
        <v>608</v>
      </c>
      <c r="D19" s="256"/>
      <c r="E19" s="256"/>
      <c r="F19" s="250" t="s">
        <v>695</v>
      </c>
      <c r="G19" s="250"/>
      <c r="H19" s="135" t="s">
        <v>1462</v>
      </c>
      <c r="I19" s="135" t="s">
        <v>43</v>
      </c>
      <c r="J19" s="135" t="s">
        <v>7</v>
      </c>
      <c r="K19" s="144" t="s">
        <v>391</v>
      </c>
      <c r="L19" s="145" t="s">
        <v>460</v>
      </c>
      <c r="M19" s="135">
        <v>0</v>
      </c>
    </row>
    <row r="20" spans="2:13">
      <c r="B20" s="151" t="s">
        <v>1460</v>
      </c>
      <c r="C20" s="252" t="s">
        <v>1456</v>
      </c>
      <c r="D20" s="250"/>
      <c r="E20" s="250"/>
      <c r="F20" s="250"/>
      <c r="G20" s="250"/>
      <c r="H20" s="151" t="s">
        <v>1461</v>
      </c>
      <c r="I20" s="252" t="s">
        <v>1458</v>
      </c>
      <c r="J20" s="250"/>
      <c r="K20" s="250"/>
      <c r="L20" s="250"/>
      <c r="M20" s="250"/>
    </row>
    <row r="21" spans="2:13" ht="255" customHeight="1">
      <c r="B21" s="250"/>
      <c r="C21" s="250"/>
      <c r="D21" s="250"/>
      <c r="E21" s="250"/>
      <c r="F21" s="250"/>
      <c r="G21" s="250"/>
      <c r="H21" s="251" t="s">
        <v>1445</v>
      </c>
      <c r="I21" s="250"/>
      <c r="J21" s="250"/>
      <c r="K21" s="250"/>
      <c r="L21" s="250"/>
      <c r="M21" s="250"/>
    </row>
    <row r="22" spans="2:13">
      <c r="B22" s="252" t="s">
        <v>1446</v>
      </c>
      <c r="C22" s="252" t="s">
        <v>1447</v>
      </c>
      <c r="D22" s="250"/>
      <c r="E22" s="250"/>
      <c r="F22" s="252" t="s">
        <v>1448</v>
      </c>
      <c r="G22" s="250"/>
      <c r="H22" s="252" t="s">
        <v>1449</v>
      </c>
      <c r="I22" s="252" t="s">
        <v>1450</v>
      </c>
      <c r="J22" s="252" t="s">
        <v>1451</v>
      </c>
      <c r="K22" s="253" t="s">
        <v>1452</v>
      </c>
      <c r="L22" s="255" t="s">
        <v>1453</v>
      </c>
      <c r="M22" s="252" t="s">
        <v>1454</v>
      </c>
    </row>
    <row r="23" spans="2:13">
      <c r="B23" s="250"/>
      <c r="C23" s="250"/>
      <c r="D23" s="250"/>
      <c r="E23" s="250"/>
      <c r="F23" s="250"/>
      <c r="G23" s="250"/>
      <c r="H23" s="250"/>
      <c r="I23" s="250"/>
      <c r="J23" s="250"/>
      <c r="K23" s="254"/>
      <c r="L23" s="256"/>
      <c r="M23" s="250"/>
    </row>
    <row r="24" spans="2:13" ht="30" customHeight="1">
      <c r="B24" s="135">
        <v>8</v>
      </c>
      <c r="C24" s="256" t="s">
        <v>608</v>
      </c>
      <c r="D24" s="256"/>
      <c r="E24" s="256"/>
      <c r="F24" s="250" t="s">
        <v>695</v>
      </c>
      <c r="G24" s="250"/>
      <c r="H24" s="135" t="s">
        <v>1465</v>
      </c>
      <c r="I24" s="135" t="s">
        <v>43</v>
      </c>
      <c r="J24" s="135" t="s">
        <v>7</v>
      </c>
      <c r="K24" s="144" t="s">
        <v>391</v>
      </c>
      <c r="L24" s="145" t="s">
        <v>460</v>
      </c>
      <c r="M24" s="135">
        <v>0</v>
      </c>
    </row>
    <row r="25" spans="2:13">
      <c r="B25" s="151" t="s">
        <v>1463</v>
      </c>
      <c r="C25" s="252" t="s">
        <v>1456</v>
      </c>
      <c r="D25" s="250"/>
      <c r="E25" s="250"/>
      <c r="F25" s="250"/>
      <c r="G25" s="250"/>
      <c r="H25" s="151" t="s">
        <v>1464</v>
      </c>
      <c r="I25" s="252" t="s">
        <v>1458</v>
      </c>
      <c r="J25" s="250"/>
      <c r="K25" s="250"/>
      <c r="L25" s="250"/>
      <c r="M25" s="250"/>
    </row>
    <row r="26" spans="2:13" ht="255" customHeight="1">
      <c r="B26" s="250"/>
      <c r="C26" s="250"/>
      <c r="D26" s="250"/>
      <c r="E26" s="250"/>
      <c r="F26" s="250"/>
      <c r="G26" s="250"/>
      <c r="H26" s="251" t="s">
        <v>1445</v>
      </c>
      <c r="I26" s="250"/>
      <c r="J26" s="250"/>
      <c r="K26" s="250"/>
      <c r="L26" s="250"/>
      <c r="M26" s="250"/>
    </row>
    <row r="31" spans="2:13" ht="255" customHeight="1"/>
  </sheetData>
  <mergeCells count="63">
    <mergeCell ref="C25:G25"/>
    <mergeCell ref="I25:M25"/>
    <mergeCell ref="C24:E24"/>
    <mergeCell ref="F24:G24"/>
    <mergeCell ref="I20:M20"/>
    <mergeCell ref="H22:H23"/>
    <mergeCell ref="I22:I23"/>
    <mergeCell ref="J22:J23"/>
    <mergeCell ref="K22:K23"/>
    <mergeCell ref="L22:L23"/>
    <mergeCell ref="M22:M23"/>
    <mergeCell ref="C19:E19"/>
    <mergeCell ref="F19:G19"/>
    <mergeCell ref="B22:B23"/>
    <mergeCell ref="C22:E23"/>
    <mergeCell ref="F22:G23"/>
    <mergeCell ref="J12:J13"/>
    <mergeCell ref="K12:K13"/>
    <mergeCell ref="L12:L13"/>
    <mergeCell ref="M12:M13"/>
    <mergeCell ref="C15:G15"/>
    <mergeCell ref="I15:M15"/>
    <mergeCell ref="C14:E14"/>
    <mergeCell ref="F14:G14"/>
    <mergeCell ref="B12:B13"/>
    <mergeCell ref="C12:E13"/>
    <mergeCell ref="F12:G13"/>
    <mergeCell ref="H12:H13"/>
    <mergeCell ref="I12:I13"/>
    <mergeCell ref="B16:G16"/>
    <mergeCell ref="H16:M16"/>
    <mergeCell ref="B21:G21"/>
    <mergeCell ref="H21:M21"/>
    <mergeCell ref="B26:G26"/>
    <mergeCell ref="H26:M26"/>
    <mergeCell ref="B17:B18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2:E4"/>
    <mergeCell ref="F2:M4"/>
    <mergeCell ref="B5:C5"/>
    <mergeCell ref="D5:F5"/>
    <mergeCell ref="H5:I5"/>
    <mergeCell ref="K5:L5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1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47</vt:i4>
      </vt:variant>
    </vt:vector>
  </HeadingPairs>
  <TitlesOfParts>
    <vt:vector size="53" baseType="lpstr">
      <vt:lpstr>TABELA DE DEFEITOS</vt:lpstr>
      <vt:lpstr>INFORMÇAÕES </vt:lpstr>
      <vt:lpstr>FORM. DE INSPEÇÃO</vt:lpstr>
      <vt:lpstr>CSV</vt:lpstr>
      <vt:lpstr>RF</vt:lpstr>
      <vt:lpstr>Plan1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2019-02-06T20:43:02Z</dcterms:modified>
</cp:coreProperties>
</file>